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Cache/pivotCacheDefinition3.xml" ContentType="application/vnd.openxmlformats-officedocument.spreadsheetml.pivotCacheDefinition+xml"/>
  <Override PartName="/xl/pivotCache/pivotCacheDefinition4.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5.xml" ContentType="application/vnd.openxmlformats-officedocument.spreadsheetml.pivotCacheDefinition+xml"/>
  <Override PartName="/xl/pivotCache/pivotCacheDefinition6.xml" ContentType="application/vnd.openxmlformats-officedocument.spreadsheetml.pivotCacheDefinition+xml"/>
  <Override PartName="/xl/pivotCache/pivotCacheDefinition7.xml" ContentType="application/vnd.openxmlformats-officedocument.spreadsheetml.pivotCacheDefinition+xml"/>
  <Override PartName="/xl/pivotCache/pivotCacheDefinition8.xml" ContentType="application/vnd.openxmlformats-officedocument.spreadsheetml.pivotCacheDefinition+xml"/>
  <Override PartName="/xl/pivotCache/pivotCacheDefinition9.xml" ContentType="application/vnd.openxmlformats-officedocument.spreadsheetml.pivotCacheDefinition+xml"/>
  <Override PartName="/xl/pivotCache/pivotCacheDefinition10.xml" ContentType="application/vnd.openxmlformats-officedocument.spreadsheetml.pivotCacheDefinition+xml"/>
  <Override PartName="/xl/pivotCache/pivotCacheDefinition11.xml" ContentType="application/vnd.openxmlformats-officedocument.spreadsheetml.pivotCacheDefinition+xml"/>
  <Override PartName="/xl/pivotCache/pivotCacheDefinition12.xml" ContentType="application/vnd.openxmlformats-officedocument.spreadsheetml.pivotCacheDefinition+xml"/>
  <Override PartName="/xl/pivotCache/pivotCacheDefinition13.xml" ContentType="application/vnd.openxmlformats-officedocument.spreadsheetml.pivotCacheDefinition+xml"/>
  <Override PartName="/xl/pivotCache/pivotCacheDefinition14.xml" ContentType="application/vnd.openxmlformats-officedocument.spreadsheetml.pivotCacheDefinition+xml"/>
  <Override PartName="/xl/pivotCache/pivotCacheDefinition15.xml" ContentType="application/vnd.openxmlformats-officedocument.spreadsheetml.pivotCacheDefinition+xml"/>
  <Override PartName="/xl/pivotCache/pivotCacheDefinition16.xml" ContentType="application/vnd.openxmlformats-officedocument.spreadsheetml.pivotCacheDefinition+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slicerCaches/slicerCache7.xml" ContentType="application/vnd.ms-excel.slicerCache+xml"/>
  <Override PartName="/xl/slicerCaches/slicerCache8.xml" ContentType="application/vnd.ms-excel.slicerCache+xml"/>
  <Override PartName="/xl/slicerCaches/slicerCache9.xml" ContentType="application/vnd.ms-excel.slicerCache+xml"/>
  <Override PartName="/xl/slicerCaches/slicerCache10.xml" ContentType="application/vnd.ms-excel.slicerCache+xml"/>
  <Override PartName="/xl/slicerCaches/slicerCache11.xml" ContentType="application/vnd.ms-excel.slicerCache+xml"/>
  <Override PartName="/xl/slicerCaches/slicerCache12.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queryTables/queryTable2.xml" ContentType="application/vnd.openxmlformats-officedocument.spreadsheetml.queryTable+xml"/>
  <Override PartName="/xl/tables/table3.xml" ContentType="application/vnd.openxmlformats-officedocument.spreadsheetml.table+xml"/>
  <Override PartName="/xl/queryTables/queryTable3.xml" ContentType="application/vnd.openxmlformats-officedocument.spreadsheetml.queryTable+xml"/>
  <Override PartName="/xl/tables/table4.xml" ContentType="application/vnd.openxmlformats-officedocument.spreadsheetml.table+xml"/>
  <Override PartName="/xl/queryTables/queryTable4.xml" ContentType="application/vnd.openxmlformats-officedocument.spreadsheetml.query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pivotTables/pivotTable12.xml" ContentType="application/vnd.openxmlformats-officedocument.spreadsheetml.pivotTable+xml"/>
  <Override PartName="/xl/pivotTables/pivotTable13.xml" ContentType="application/vnd.openxmlformats-officedocument.spreadsheetml.pivotTable+xml"/>
  <Override PartName="/xl/drawings/drawing2.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3.xml" ContentType="application/vnd.openxmlformats-officedocument.drawing+xml"/>
  <Override PartName="/xl/slicers/slicer2.xml" ContentType="application/vnd.ms-excel.slicer+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drawings/drawing4.xml" ContentType="application/vnd.openxmlformats-officedocument.drawing+xml"/>
  <Override PartName="/xl/slicers/slicer3.xml" ContentType="application/vnd.ms-excel.slicer+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626" codeName="{62F9E958-00F4-224C-1CEB-3A4BEE276A53}"/>
  <workbookPr codeName="ThisWorkbook" hidePivotFieldList="1" defaultThemeVersion="166925"/>
  <mc:AlternateContent xmlns:mc="http://schemas.openxmlformats.org/markup-compatibility/2006">
    <mc:Choice Requires="x15">
      <x15ac:absPath xmlns:x15ac="http://schemas.microsoft.com/office/spreadsheetml/2010/11/ac" url="C:\Users\Admin\OneDrive\Desktop\"/>
    </mc:Choice>
  </mc:AlternateContent>
  <xr:revisionPtr revIDLastSave="0" documentId="8_{A95CD32C-0C81-4975-8A93-C47E5CC7A139}" xr6:coauthVersionLast="47" xr6:coauthVersionMax="47" xr10:uidLastSave="{00000000-0000-0000-0000-000000000000}"/>
  <bookViews>
    <workbookView xWindow="-110" yWindow="-110" windowWidth="19420" windowHeight="10300" tabRatio="665" firstSheet="7" activeTab="7" xr2:uid="{0477C9FF-C902-4FAA-B907-F0451E71373C}"/>
  </bookViews>
  <sheets>
    <sheet name="Raw Data - LTL" sheetId="5" state="hidden" r:id="rId1"/>
    <sheet name="Raw Data- cẩu" sheetId="4" state="hidden" r:id="rId2"/>
    <sheet name="Raw Data - dài" sheetId="3" state="hidden" r:id="rId3"/>
    <sheet name="Raw Data- ngắn" sheetId="2" state="hidden" r:id="rId4"/>
    <sheet name="CALCULATION-NGẮN" sheetId="7" state="hidden" r:id="rId5"/>
    <sheet name="CALCULATION- DÀI" sheetId="10" state="hidden" r:id="rId6"/>
    <sheet name="CALCULATION- LTL" sheetId="13" state="hidden" r:id="rId7"/>
    <sheet name="Monitoring- ĐƯỜNG NGẮN" sheetId="6" r:id="rId8"/>
    <sheet name="Monitoring - ĐƯỜNG DÀI" sheetId="11" r:id="rId9"/>
    <sheet name="Monitoring - LTL" sheetId="14" r:id="rId10"/>
  </sheets>
  <definedNames>
    <definedName name="_xlcn.WorksheetConnection_test.xlsxTable_Raw_Data___dài" hidden="1">Table_Raw_Data___dài[]</definedName>
    <definedName name="_xlcn.WorksheetConnection_test.xlsxTable_Raw_Data___LTL" hidden="1">Table_Raw_Data___LTL[]</definedName>
    <definedName name="_xlcn.WorksheetConnection_test.xlsxTable_Raw_Data__ngắn" hidden="1">Table_Raw_Data__ngắn[]</definedName>
    <definedName name="ExternalData_1" localSheetId="3" hidden="1">'Raw Data- ngắn'!$A$1:$E$58</definedName>
    <definedName name="ExternalData_2" localSheetId="2" hidden="1">'Raw Data - dài'!$A$1:$E$25</definedName>
    <definedName name="ExternalData_3" localSheetId="1" hidden="1">'Raw Data- cẩu'!$A$1:$E$6</definedName>
    <definedName name="ExternalData_4" localSheetId="0" hidden="1">'Raw Data - LTL'!$A$1:$E$32</definedName>
    <definedName name="Slicer_Chi_nhánh">#N/A</definedName>
    <definedName name="Slicer_Chi_nhánh1">#N/A</definedName>
    <definedName name="Slicer_Chi_nhánh2">#N/A</definedName>
    <definedName name="Slicer_Chi_nhánh3">#N/A</definedName>
    <definedName name="Slicer_Chi_nhánh4">#N/A</definedName>
    <definedName name="Slicer_Chi_nhánh5">#N/A</definedName>
    <definedName name="Slicer_Tháng">#N/A</definedName>
    <definedName name="Slicer_Tháng1">#N/A</definedName>
    <definedName name="Slicer_Tháng2">#N/A</definedName>
    <definedName name="Slicer_Tháng3">#N/A</definedName>
    <definedName name="Slicer_Tháng4">#N/A</definedName>
    <definedName name="Slicer_Tháng5">#N/A</definedName>
  </definedNames>
  <calcPr calcId="191029"/>
  <pivotCaches>
    <pivotCache cacheId="0" r:id="rId11"/>
    <pivotCache cacheId="1" r:id="rId12"/>
    <pivotCache cacheId="2" r:id="rId13"/>
    <pivotCache cacheId="3" r:id="rId14"/>
    <pivotCache cacheId="4" r:id="rId15"/>
    <pivotCache cacheId="5" r:id="rId16"/>
    <pivotCache cacheId="6" r:id="rId17"/>
    <pivotCache cacheId="7" r:id="rId18"/>
    <pivotCache cacheId="8" r:id="rId19"/>
    <pivotCache cacheId="36" r:id="rId20"/>
    <pivotCache cacheId="39" r:id="rId21"/>
  </pivotCaches>
  <extLst>
    <ext xmlns:x14="http://schemas.microsoft.com/office/spreadsheetml/2009/9/main" uri="{876F7934-8845-4945-9796-88D515C7AA90}">
      <x14:pivotCaches>
        <pivotCache cacheId="11" r:id="rId22"/>
        <pivotCache cacheId="12" r:id="rId23"/>
        <pivotCache cacheId="13" r:id="rId24"/>
        <pivotCache cacheId="14" r:id="rId25"/>
        <pivotCache cacheId="15" r:id="rId26"/>
      </x14:pivotCaches>
    </ext>
    <ext xmlns:x14="http://schemas.microsoft.com/office/spreadsheetml/2009/9/main" uri="{BBE1A952-AA13-448e-AADC-164F8A28A991}">
      <x14:slicerCaches>
        <x14:slicerCache r:id="rId27"/>
        <x14:slicerCache r:id="rId28"/>
        <x14:slicerCache r:id="rId29"/>
        <x14:slicerCache r:id="rId30"/>
        <x14:slicerCache r:id="rId31"/>
        <x14:slicerCache r:id="rId32"/>
        <x14:slicerCache r:id="rId33"/>
        <x14:slicerCache r:id="rId34"/>
        <x14:slicerCache r:id="rId35"/>
        <x14:slicerCache r:id="rId36"/>
        <x14:slicerCache r:id="rId37"/>
        <x14:slicerCache r:id="rId38"/>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Table_Raw_Data__ngắn" name="Table_Raw_Data__ngắn" connection="WorksheetConnection_test.xlsx!Table_Raw_Data__ngắn"/>
          <x15:modelTable id="Table_Raw_Data___LTL" name="Table_Raw_Data___LTL" connection="WorksheetConnection_test.xlsx!Table_Raw_Data___LTL"/>
          <x15:modelTable id="Table_Raw_Data___dài" name="Table_Raw_Data___dài" connection="WorksheetConnection_test.xlsx!Table_Raw_Data___dài"/>
        </x15:modelTables>
      </x15:dataModel>
    </ext>
  </extLst>
</workbook>
</file>

<file path=xl/calcChain.xml><?xml version="1.0" encoding="utf-8"?>
<calcChain xmlns="http://schemas.openxmlformats.org/spreadsheetml/2006/main">
  <c r="M4" i="13" l="1"/>
  <c r="K3" i="10"/>
  <c r="M3" i="7"/>
  <c r="J3" i="10"/>
  <c r="L3" i="10"/>
  <c r="O4" i="13"/>
  <c r="O3" i="7"/>
  <c r="L4" i="13"/>
  <c r="N4" i="13"/>
  <c r="N3" i="7"/>
  <c r="L3" i="7"/>
  <c r="M3" i="10"/>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D5895250-F5A0-4DCE-9BD5-FA6D0DDA9494}" keepAlive="1" name="Query - Raw Data - dài" description="Connection to the 'Raw Data - dài' query in the workbook." type="5" refreshedVersion="8" background="1" saveData="1">
    <dbPr connection="Provider=Microsoft.Mashup.OleDb.1;Data Source=$Workbook$;Location=&quot;Raw Data - dài&quot;;Extended Properties=&quot;&quot;" command="SELECT * FROM [Raw Data - dài]"/>
  </connection>
  <connection id="2" xr16:uid="{0C9F9FA8-0A5D-4BE2-8430-4A78BF19C74C}" keepAlive="1" name="Query - Raw Data - LTL" description="Connection to the 'Raw Data - LTL' query in the workbook." type="5" refreshedVersion="8" background="1" saveData="1">
    <dbPr connection="Provider=Microsoft.Mashup.OleDb.1;Data Source=$Workbook$;Location=&quot;Raw Data - LTL&quot;;Extended Properties=&quot;&quot;" command="SELECT * FROM [Raw Data - LTL]"/>
  </connection>
  <connection id="3" xr16:uid="{1088B257-9986-4E58-835E-5C0C323D97B7}" keepAlive="1" name="Query - Raw Data- cẩu" description="Connection to the 'Raw Data- cẩu' query in the workbook." type="5" refreshedVersion="8" background="1" saveData="1">
    <dbPr connection="Provider=Microsoft.Mashup.OleDb.1;Data Source=$Workbook$;Location=&quot;Raw Data- cẩu&quot;;Extended Properties=&quot;&quot;" command="SELECT * FROM [Raw Data- cẩu]"/>
  </connection>
  <connection id="4" xr16:uid="{D0F49205-AE5A-4AC8-90AE-8B2BE9F75B94}" keepAlive="1" name="Query - Raw Data- ngắn" description="Connection to the 'Raw Data- ngắn' query in the workbook." type="5" refreshedVersion="8" background="1" saveData="1">
    <dbPr connection="Provider=Microsoft.Mashup.OleDb.1;Data Source=$Workbook$;Location=&quot;Raw Data- ngắn&quot;;Extended Properties=&quot;&quot;" command="SELECT * FROM [Raw Data- ngắn]"/>
  </connection>
  <connection id="5" xr16:uid="{1F1E9FFE-1FB3-46BA-B013-C268BFBA27B5}" keepAlive="1" name="ThisWorkbookDataModel" description="Data Model"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6" xr16:uid="{D1002293-5E07-42C2-A9D4-693DCC8218E2}" name="WorksheetConnection_test.xlsx!Table_Raw_Data___dài" type="102" refreshedVersion="8" minRefreshableVersion="5">
    <extLst>
      <ext xmlns:x15="http://schemas.microsoft.com/office/spreadsheetml/2010/11/main" uri="{DE250136-89BD-433C-8126-D09CA5730AF9}">
        <x15:connection id="Table_Raw_Data___dài" autoDelete="1">
          <x15:rangePr sourceName="_xlcn.WorksheetConnection_test.xlsxTable_Raw_Data___dài"/>
        </x15:connection>
      </ext>
    </extLst>
  </connection>
  <connection id="7" xr16:uid="{D22AC57F-96B1-448E-9B0A-8D20F87E5C4B}" name="WorksheetConnection_test.xlsx!Table_Raw_Data___LTL" type="102" refreshedVersion="8" minRefreshableVersion="5">
    <extLst>
      <ext xmlns:x15="http://schemas.microsoft.com/office/spreadsheetml/2010/11/main" uri="{DE250136-89BD-433C-8126-D09CA5730AF9}">
        <x15:connection id="Table_Raw_Data___LTL" autoDelete="1">
          <x15:rangePr sourceName="_xlcn.WorksheetConnection_test.xlsxTable_Raw_Data___LTL"/>
        </x15:connection>
      </ext>
    </extLst>
  </connection>
  <connection id="8" xr16:uid="{67C116C0-7364-4C8E-B0C3-ABE4C922C47C}" name="WorksheetConnection_test.xlsx!Table_Raw_Data__ngắn" type="102" refreshedVersion="8" minRefreshableVersion="5">
    <extLst>
      <ext xmlns:x15="http://schemas.microsoft.com/office/spreadsheetml/2010/11/main" uri="{DE250136-89BD-433C-8126-D09CA5730AF9}">
        <x15:connection id="Table_Raw_Data__ngắn" autoDelete="1">
          <x15:rangePr sourceName="_xlcn.WorksheetConnection_test.xlsxTable_Raw_Data__ngắn"/>
        </x15:connection>
      </ext>
    </extLst>
  </connection>
</connections>
</file>

<file path=xl/metadata.xml><?xml version="1.0" encoding="utf-8"?>
<metadata xmlns="http://schemas.openxmlformats.org/spreadsheetml/2006/main">
  <metadataTypes count="1">
    <metadataType name="XLMDX" minSupportedVersion="120000" copy="1" pasteAll="1" pasteValues="1" merge="1" splitFirst="1" rowColShift="1" clearFormats="1" clearComments="1" assign="1" coerce="1"/>
  </metadataTypes>
  <metadataStrings count="5">
    <s v="ThisWorkbookDataModel"/>
    <s v="{[Table_Raw_Data__ngắn].[Tháng].[All]}"/>
    <s v="{[Table_Raw_Data__ngắn].[Chi nhánh].[All]}"/>
    <s v="{[Table_Raw_Data___dài].[Tháng].[All]}"/>
    <s v="{[Table_Raw_Data___dài].[Chi nhánh].&amp;[HCM]}"/>
  </metadataStrings>
  <mdxMetadata count="4">
    <mdx n="0" f="s">
      <ms ns="1" c="0"/>
    </mdx>
    <mdx n="0" f="s">
      <ms ns="2" c="0"/>
    </mdx>
    <mdx n="0" f="s">
      <ms ns="3" c="0"/>
    </mdx>
    <mdx n="0" f="s">
      <ms ns="4" c="0"/>
    </mdx>
  </mdxMetadata>
  <valueMetadata count="4">
    <bk>
      <rc t="1" v="0"/>
    </bk>
    <bk>
      <rc t="1" v="1"/>
    </bk>
    <bk>
      <rc t="1" v="2"/>
    </bk>
    <bk>
      <rc t="1" v="3"/>
    </bk>
  </valueMetadata>
</metadata>
</file>

<file path=xl/sharedStrings.xml><?xml version="1.0" encoding="utf-8"?>
<sst xmlns="http://schemas.openxmlformats.org/spreadsheetml/2006/main" count="436" uniqueCount="60">
  <si>
    <t>Tháng</t>
  </si>
  <si>
    <t>Chi nhánh</t>
  </si>
  <si>
    <t>Nhà vận tải</t>
  </si>
  <si>
    <t>KPI- cẩu</t>
  </si>
  <si>
    <t>KPI- LTL</t>
  </si>
  <si>
    <t>DN</t>
  </si>
  <si>
    <t>NHUT LIEN</t>
  </si>
  <si>
    <t>NHAT QUANG</t>
  </si>
  <si>
    <t>NHAT PHONG VAN</t>
  </si>
  <si>
    <t>NHAT TIN</t>
  </si>
  <si>
    <t>NETCO</t>
  </si>
  <si>
    <t>PHUONG ANH</t>
  </si>
  <si>
    <t>HP</t>
  </si>
  <si>
    <t>CITY</t>
  </si>
  <si>
    <t>GHP</t>
  </si>
  <si>
    <t>NA</t>
  </si>
  <si>
    <t>KH</t>
  </si>
  <si>
    <t>KHANG THINH</t>
  </si>
  <si>
    <t>THUAN THANH TIN</t>
  </si>
  <si>
    <t>CT</t>
  </si>
  <si>
    <t>LOGITEM</t>
  </si>
  <si>
    <t>THUY ANH</t>
  </si>
  <si>
    <t>HN</t>
  </si>
  <si>
    <t>TASETCO</t>
  </si>
  <si>
    <t>ANH MINH</t>
  </si>
  <si>
    <t>PHUONG DUC</t>
  </si>
  <si>
    <t>HOI TU</t>
  </si>
  <si>
    <t>VINAFCO</t>
  </si>
  <si>
    <t>HCM</t>
  </si>
  <si>
    <t>SPNL</t>
  </si>
  <si>
    <t>TUAN QUANG-CAU</t>
  </si>
  <si>
    <t>INTERLOG</t>
  </si>
  <si>
    <t>PC</t>
  </si>
  <si>
    <t>NANG DONG</t>
  </si>
  <si>
    <t>Chi Phí - ngắn</t>
  </si>
  <si>
    <t>KPI- ngắn</t>
  </si>
  <si>
    <t>Chi Phí - LTL</t>
  </si>
  <si>
    <t>Chi Phí- Cẩu</t>
  </si>
  <si>
    <t>Chi Phí- Dài</t>
  </si>
  <si>
    <t>KPI-dài</t>
  </si>
  <si>
    <t>Row Labels</t>
  </si>
  <si>
    <t>Grand Total</t>
  </si>
  <si>
    <t>Sum of Chi Phí - ngắn</t>
  </si>
  <si>
    <t>Column Labels</t>
  </si>
  <si>
    <t>Average of KPI- ngắn</t>
  </si>
  <si>
    <t>Excellent</t>
  </si>
  <si>
    <t>Good.</t>
  </si>
  <si>
    <t>Need to improve</t>
  </si>
  <si>
    <t>All</t>
  </si>
  <si>
    <t>Metrics</t>
  </si>
  <si>
    <t>Tổng số tiền</t>
  </si>
  <si>
    <t>Tổng số vendor</t>
  </si>
  <si>
    <t>Count of Nhà vận tải</t>
  </si>
  <si>
    <t>Tỉ trong</t>
  </si>
  <si>
    <t>Avg KPI</t>
  </si>
  <si>
    <t>Sum of Chi Phí- Dài</t>
  </si>
  <si>
    <t>Average of KPI-dài</t>
  </si>
  <si>
    <t>Good</t>
  </si>
  <si>
    <t>Sum of Chi Phí - LTL</t>
  </si>
  <si>
    <t>Average of KPI- LTL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</si>
</sst>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3">
    <numFmt numFmtId="43" formatCode="_(* #,##0.00_);_(* \(#,##0.00\);_(* &quot;-&quot;??_);_(@_)"/>
    <numFmt numFmtId="164" formatCode="_(* #,##0_);_(* \(#,##0\);_(* &quot;-&quot;??_);_(@_)"/>
    <numFmt numFmtId="165" formatCode="0.0%"/>
  </numFmts>
  <fonts count="4" x14ac:knownFonts="1">
    <font>
      <sz val="11"/>
      <color theme="1"/>
      <name val="Calibri"/>
      <family val="2"/>
      <scheme val="minor"/>
    </font>
    <font>
      <sz val="8"/>
      <name val="Calibri"/>
      <family val="2"/>
      <scheme val="minor"/>
    </font>
    <font>
      <sz val="11"/>
      <color theme="1"/>
      <name val="Calibri"/>
      <family val="2"/>
      <scheme val="minor"/>
    </font>
    <font>
      <b/>
      <sz val="11"/>
      <name val="Calibri"/>
      <family val="2"/>
      <scheme val="minor"/>
    </font>
  </fonts>
  <fills count="7">
    <fill>
      <patternFill patternType="none"/>
    </fill>
    <fill>
      <patternFill patternType="gray125"/>
    </fill>
    <fill>
      <patternFill patternType="solid">
        <fgColor theme="6" tint="0.79998168889431442"/>
        <bgColor indexed="64"/>
      </patternFill>
    </fill>
    <fill>
      <patternFill patternType="solid">
        <fgColor theme="7" tint="0.79998168889431442"/>
        <bgColor indexed="64"/>
      </patternFill>
    </fill>
    <fill>
      <patternFill patternType="solid">
        <fgColor theme="9" tint="0.59999389629810485"/>
        <bgColor indexed="64"/>
      </patternFill>
    </fill>
    <fill>
      <patternFill patternType="solid">
        <fgColor theme="2"/>
        <bgColor indexed="64"/>
      </patternFill>
    </fill>
    <fill>
      <patternFill patternType="solid">
        <fgColor theme="9" tint="0.79998168889431442"/>
        <bgColor indexed="64"/>
      </patternFill>
    </fill>
  </fills>
  <borders count="10">
    <border>
      <left/>
      <right/>
      <top/>
      <bottom/>
      <diagonal/>
    </border>
    <border>
      <left style="thin">
        <color indexed="64"/>
      </left>
      <right style="thin">
        <color indexed="64"/>
      </right>
      <top style="thin">
        <color indexed="64"/>
      </top>
      <bottom style="thin">
        <color indexed="64"/>
      </bottom>
      <diagonal/>
    </border>
    <border>
      <left style="double">
        <color indexed="64"/>
      </left>
      <right/>
      <top style="double">
        <color indexed="64"/>
      </top>
      <bottom/>
      <diagonal/>
    </border>
    <border>
      <left/>
      <right/>
      <top style="double">
        <color indexed="64"/>
      </top>
      <bottom/>
      <diagonal/>
    </border>
    <border>
      <left/>
      <right style="double">
        <color indexed="64"/>
      </right>
      <top style="double">
        <color indexed="64"/>
      </top>
      <bottom/>
      <diagonal/>
    </border>
    <border>
      <left style="double">
        <color indexed="64"/>
      </left>
      <right/>
      <top/>
      <bottom/>
      <diagonal/>
    </border>
    <border>
      <left/>
      <right style="double">
        <color indexed="64"/>
      </right>
      <top/>
      <bottom/>
      <diagonal/>
    </border>
    <border>
      <left style="double">
        <color indexed="64"/>
      </left>
      <right/>
      <top/>
      <bottom style="double">
        <color indexed="64"/>
      </bottom>
      <diagonal/>
    </border>
    <border>
      <left/>
      <right/>
      <top/>
      <bottom style="double">
        <color indexed="64"/>
      </bottom>
      <diagonal/>
    </border>
    <border>
      <left/>
      <right style="double">
        <color indexed="64"/>
      </right>
      <top/>
      <bottom style="double">
        <color indexed="64"/>
      </bottom>
      <diagonal/>
    </border>
  </borders>
  <cellStyleXfs count="3">
    <xf numFmtId="0" fontId="0" fillId="0" borderId="0"/>
    <xf numFmtId="43" fontId="2" fillId="0" borderId="0" applyFont="0" applyFill="0" applyBorder="0" applyAlignment="0" applyProtection="0"/>
    <xf numFmtId="9" fontId="2" fillId="0" borderId="0" applyFont="0" applyFill="0" applyBorder="0" applyAlignment="0" applyProtection="0"/>
  </cellStyleXfs>
  <cellXfs count="44">
    <xf numFmtId="0" fontId="0" fillId="0" borderId="0" xfId="0"/>
    <xf numFmtId="0" fontId="0" fillId="2" borderId="0" xfId="0" applyFill="1"/>
    <xf numFmtId="164" fontId="0" fillId="3" borderId="0" xfId="0" applyNumberFormat="1" applyFill="1"/>
    <xf numFmtId="0" fontId="0" fillId="3" borderId="0" xfId="0" applyFill="1"/>
    <xf numFmtId="164" fontId="0" fillId="3" borderId="0" xfId="0" applyNumberFormat="1" applyFill="1" applyAlignment="1">
      <alignment horizontal="left"/>
    </xf>
    <xf numFmtId="0" fontId="0" fillId="4" borderId="0" xfId="0" applyFill="1"/>
    <xf numFmtId="0" fontId="0" fillId="4" borderId="0" xfId="0" applyFill="1" applyAlignment="1">
      <alignment horizontal="left"/>
    </xf>
    <xf numFmtId="9" fontId="0" fillId="4" borderId="0" xfId="0" applyNumberFormat="1" applyFill="1"/>
    <xf numFmtId="10" fontId="0" fillId="4" borderId="0" xfId="0" applyNumberFormat="1" applyFill="1"/>
    <xf numFmtId="164" fontId="0" fillId="3" borderId="1" xfId="0" applyNumberFormat="1" applyFill="1" applyBorder="1"/>
    <xf numFmtId="0" fontId="0" fillId="3" borderId="1" xfId="0" applyFill="1" applyBorder="1"/>
    <xf numFmtId="164" fontId="0" fillId="3" borderId="1" xfId="1" applyNumberFormat="1" applyFont="1" applyFill="1" applyBorder="1"/>
    <xf numFmtId="9" fontId="0" fillId="3" borderId="1" xfId="2" applyFont="1" applyFill="1" applyBorder="1"/>
    <xf numFmtId="10" fontId="0" fillId="3" borderId="1" xfId="2" applyNumberFormat="1" applyFont="1" applyFill="1" applyBorder="1"/>
    <xf numFmtId="0" fontId="0" fillId="3" borderId="0" xfId="0" applyFill="1" applyAlignment="1">
      <alignment horizontal="left"/>
    </xf>
    <xf numFmtId="0" fontId="0" fillId="6" borderId="0" xfId="0" applyFill="1"/>
    <xf numFmtId="0" fontId="0" fillId="6" borderId="0" xfId="0" applyFill="1" applyAlignment="1">
      <alignment horizontal="left"/>
    </xf>
    <xf numFmtId="165" fontId="0" fillId="6" borderId="0" xfId="0" applyNumberFormat="1" applyFill="1"/>
    <xf numFmtId="43" fontId="0" fillId="3" borderId="0" xfId="0" applyNumberFormat="1" applyFill="1"/>
    <xf numFmtId="43" fontId="0" fillId="3" borderId="0" xfId="0" applyNumberFormat="1" applyFill="1" applyAlignment="1">
      <alignment horizontal="left"/>
    </xf>
    <xf numFmtId="10" fontId="0" fillId="6" borderId="0" xfId="0" applyNumberFormat="1" applyFill="1"/>
    <xf numFmtId="43" fontId="0" fillId="0" borderId="0" xfId="1" applyFont="1"/>
    <xf numFmtId="0" fontId="0" fillId="5" borderId="0" xfId="0" applyFill="1"/>
    <xf numFmtId="0" fontId="3" fillId="3" borderId="0" xfId="0" applyFont="1" applyFill="1" applyAlignment="1">
      <alignment horizontal="left"/>
    </xf>
    <xf numFmtId="43" fontId="3" fillId="3" borderId="0" xfId="0" applyNumberFormat="1" applyFont="1" applyFill="1"/>
    <xf numFmtId="43" fontId="0" fillId="3" borderId="1" xfId="1" applyFont="1" applyFill="1" applyBorder="1"/>
    <xf numFmtId="165" fontId="0" fillId="3" borderId="1" xfId="2" applyNumberFormat="1" applyFont="1" applyFill="1" applyBorder="1"/>
    <xf numFmtId="0" fontId="0" fillId="5" borderId="2" xfId="0" applyFill="1" applyBorder="1"/>
    <xf numFmtId="0" fontId="0" fillId="5" borderId="3" xfId="0" applyFill="1" applyBorder="1"/>
    <xf numFmtId="0" fontId="0" fillId="5" borderId="4" xfId="0" applyFill="1" applyBorder="1"/>
    <xf numFmtId="0" fontId="0" fillId="5" borderId="5" xfId="0" applyFill="1" applyBorder="1"/>
    <xf numFmtId="0" fontId="0" fillId="5" borderId="6" xfId="0" applyFill="1" applyBorder="1"/>
    <xf numFmtId="0" fontId="0" fillId="5" borderId="7" xfId="0" applyFill="1" applyBorder="1"/>
    <xf numFmtId="0" fontId="0" fillId="5" borderId="8" xfId="0" applyFill="1" applyBorder="1"/>
    <xf numFmtId="0" fontId="0" fillId="5" borderId="9" xfId="0" applyFill="1" applyBorder="1"/>
    <xf numFmtId="0" fontId="0" fillId="2" borderId="2" xfId="0" applyFill="1" applyBorder="1"/>
    <xf numFmtId="0" fontId="0" fillId="2" borderId="3" xfId="0" applyFill="1" applyBorder="1"/>
    <xf numFmtId="0" fontId="0" fillId="2" borderId="4" xfId="0" applyFill="1" applyBorder="1"/>
    <xf numFmtId="0" fontId="0" fillId="2" borderId="5" xfId="0" applyFill="1" applyBorder="1"/>
    <xf numFmtId="0" fontId="0" fillId="2" borderId="6" xfId="0" applyFill="1" applyBorder="1"/>
    <xf numFmtId="0" fontId="0" fillId="2" borderId="7" xfId="0" applyFill="1" applyBorder="1"/>
    <xf numFmtId="0" fontId="0" fillId="2" borderId="8" xfId="0" applyFill="1" applyBorder="1"/>
    <xf numFmtId="0" fontId="0" fillId="2" borderId="9" xfId="0" applyFill="1" applyBorder="1"/>
    <xf numFmtId="0" fontId="0" fillId="3" borderId="1" xfId="0" applyFill="1" applyBorder="1" applyAlignment="1">
      <alignment horizontal="center"/>
    </xf>
  </cellXfs>
  <cellStyles count="3">
    <cellStyle name="Comma" xfId="1" builtinId="3"/>
    <cellStyle name="Normal" xfId="0" builtinId="0"/>
    <cellStyle name="Percent" xfId="2" builtinId="5"/>
  </cellStyles>
  <dxfs count="344">
    <dxf>
      <fill>
        <patternFill patternType="solid">
          <bgColor theme="7" tint="0.79998168889431442"/>
        </patternFill>
      </fill>
    </dxf>
    <dxf>
      <fill>
        <patternFill patternType="solid">
          <bgColor theme="7" tint="0.79998168889431442"/>
        </patternFill>
      </fill>
    </dxf>
    <dxf>
      <fill>
        <patternFill patternType="solid">
          <bgColor theme="7" tint="0.79998168889431442"/>
        </patternFill>
      </fill>
    </dxf>
    <dxf>
      <fill>
        <patternFill patternType="solid">
          <bgColor theme="7" tint="0.79998168889431442"/>
        </patternFill>
      </fill>
    </dxf>
    <dxf>
      <fill>
        <patternFill patternType="solid">
          <bgColor theme="7" tint="0.79998168889431442"/>
        </patternFill>
      </fill>
    </dxf>
    <dxf>
      <fill>
        <patternFill patternType="solid">
          <bgColor theme="7"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numFmt numFmtId="165" formatCode="0.0%"/>
    </dxf>
    <dxf>
      <fill>
        <patternFill patternType="solid">
          <bgColor theme="7" tint="0.79998168889431442"/>
        </patternFill>
      </fill>
    </dxf>
    <dxf>
      <fill>
        <patternFill patternType="solid">
          <bgColor theme="7" tint="0.79998168889431442"/>
        </patternFill>
      </fill>
    </dxf>
    <dxf>
      <fill>
        <patternFill patternType="solid">
          <bgColor theme="7" tint="0.79998168889431442"/>
        </patternFill>
      </fill>
    </dxf>
    <dxf>
      <fill>
        <patternFill patternType="solid">
          <bgColor theme="7" tint="0.79998168889431442"/>
        </patternFill>
      </fill>
    </dxf>
    <dxf>
      <fill>
        <patternFill patternType="solid">
          <bgColor theme="7" tint="0.79998168889431442"/>
        </patternFill>
      </fill>
    </dxf>
    <dxf>
      <fill>
        <patternFill patternType="solid">
          <bgColor theme="7" tint="0.79998168889431442"/>
        </patternFill>
      </fill>
    </dxf>
    <dxf>
      <numFmt numFmtId="166" formatCode="_(* #,##0.0_);_(* \(#,##0.0\);_(* &quot;-&quot;??_);_(@_)"/>
    </dxf>
    <dxf>
      <numFmt numFmtId="35" formatCode="_(* #,##0.00_);_(* \(#,##0.00\);_(* &quot;-&quot;??_);_(@_)"/>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numFmt numFmtId="14" formatCode="0.00%"/>
    </dxf>
    <dxf>
      <fill>
        <patternFill patternType="solid">
          <bgColor theme="7" tint="0.79998168889431442"/>
        </patternFill>
      </fill>
    </dxf>
    <dxf>
      <fill>
        <patternFill patternType="solid">
          <bgColor theme="7" tint="0.79998168889431442"/>
        </patternFill>
      </fill>
    </dxf>
    <dxf>
      <fill>
        <patternFill patternType="solid">
          <bgColor theme="7" tint="0.79998168889431442"/>
        </patternFill>
      </fill>
    </dxf>
    <dxf>
      <fill>
        <patternFill patternType="solid">
          <bgColor theme="7" tint="0.79998168889431442"/>
        </patternFill>
      </fill>
    </dxf>
    <dxf>
      <fill>
        <patternFill patternType="solid">
          <bgColor theme="7" tint="0.79998168889431442"/>
        </patternFill>
      </fill>
    </dxf>
    <dxf>
      <fill>
        <patternFill patternType="solid">
          <bgColor theme="7"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numFmt numFmtId="165" formatCode="0.0%"/>
    </dxf>
    <dxf>
      <fill>
        <patternFill patternType="solid">
          <bgColor theme="7" tint="0.79998168889431442"/>
        </patternFill>
      </fill>
    </dxf>
    <dxf>
      <fill>
        <patternFill patternType="solid">
          <bgColor theme="7" tint="0.79998168889431442"/>
        </patternFill>
      </fill>
    </dxf>
    <dxf>
      <fill>
        <patternFill patternType="solid">
          <bgColor theme="7" tint="0.79998168889431442"/>
        </patternFill>
      </fill>
    </dxf>
    <dxf>
      <fill>
        <patternFill patternType="solid">
          <bgColor theme="7" tint="0.79998168889431442"/>
        </patternFill>
      </fill>
    </dxf>
    <dxf>
      <fill>
        <patternFill patternType="solid">
          <bgColor theme="7" tint="0.79998168889431442"/>
        </patternFill>
      </fill>
    </dxf>
    <dxf>
      <fill>
        <patternFill patternType="solid">
          <bgColor theme="7" tint="0.79998168889431442"/>
        </patternFill>
      </fill>
    </dxf>
    <dxf>
      <numFmt numFmtId="166" formatCode="_(* #,##0.0_);_(* \(#,##0.0\);_(* &quot;-&quot;??_);_(@_)"/>
    </dxf>
    <dxf>
      <numFmt numFmtId="35" formatCode="_(* #,##0.00_);_(* \(#,##0.00\);_(* &quot;-&quot;??_);_(@_)"/>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numFmt numFmtId="14" formatCode="0.00%"/>
    </dxf>
    <dxf>
      <fill>
        <patternFill patternType="solid">
          <bgColor theme="7" tint="0.79998168889431442"/>
        </patternFill>
      </fill>
    </dxf>
    <dxf>
      <fill>
        <patternFill patternType="solid">
          <bgColor theme="7" tint="0.79998168889431442"/>
        </patternFill>
      </fill>
    </dxf>
    <dxf>
      <fill>
        <patternFill patternType="solid">
          <bgColor theme="7" tint="0.79998168889431442"/>
        </patternFill>
      </fill>
    </dxf>
    <dxf>
      <fill>
        <patternFill patternType="solid">
          <bgColor theme="7" tint="0.79998168889431442"/>
        </patternFill>
      </fill>
    </dxf>
    <dxf>
      <fill>
        <patternFill patternType="solid">
          <bgColor theme="7" tint="0.79998168889431442"/>
        </patternFill>
      </fill>
    </dxf>
    <dxf>
      <fill>
        <patternFill patternType="solid">
          <bgColor theme="7"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numFmt numFmtId="165" formatCode="0.0%"/>
    </dxf>
    <dxf>
      <fill>
        <patternFill patternType="solid">
          <bgColor theme="7" tint="0.79998168889431442"/>
        </patternFill>
      </fill>
    </dxf>
    <dxf>
      <fill>
        <patternFill patternType="solid">
          <bgColor theme="7" tint="0.79998168889431442"/>
        </patternFill>
      </fill>
    </dxf>
    <dxf>
      <fill>
        <patternFill patternType="solid">
          <bgColor theme="7" tint="0.79998168889431442"/>
        </patternFill>
      </fill>
    </dxf>
    <dxf>
      <fill>
        <patternFill patternType="solid">
          <bgColor theme="7" tint="0.79998168889431442"/>
        </patternFill>
      </fill>
    </dxf>
    <dxf>
      <fill>
        <patternFill patternType="solid">
          <bgColor theme="7" tint="0.79998168889431442"/>
        </patternFill>
      </fill>
    </dxf>
    <dxf>
      <fill>
        <patternFill patternType="solid">
          <bgColor theme="7" tint="0.79998168889431442"/>
        </patternFill>
      </fill>
    </dxf>
    <dxf>
      <numFmt numFmtId="166" formatCode="_(* #,##0.0_);_(* \(#,##0.0\);_(* &quot;-&quot;??_);_(@_)"/>
    </dxf>
    <dxf>
      <numFmt numFmtId="35" formatCode="_(* #,##0.00_);_(* \(#,##0.00\);_(* &quot;-&quot;??_);_(@_)"/>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numFmt numFmtId="14" formatCode="0.00%"/>
    </dxf>
    <dxf>
      <fill>
        <patternFill patternType="solid">
          <bgColor theme="7" tint="0.79998168889431442"/>
        </patternFill>
      </fill>
    </dxf>
    <dxf>
      <fill>
        <patternFill patternType="solid">
          <bgColor theme="7" tint="0.79998168889431442"/>
        </patternFill>
      </fill>
    </dxf>
    <dxf>
      <fill>
        <patternFill patternType="solid">
          <bgColor theme="7" tint="0.79998168889431442"/>
        </patternFill>
      </fill>
    </dxf>
    <dxf>
      <fill>
        <patternFill patternType="solid">
          <bgColor theme="7" tint="0.79998168889431442"/>
        </patternFill>
      </fill>
    </dxf>
    <dxf>
      <fill>
        <patternFill patternType="solid">
          <bgColor theme="7" tint="0.79998168889431442"/>
        </patternFill>
      </fill>
    </dxf>
    <dxf>
      <fill>
        <patternFill patternType="solid">
          <bgColor theme="7"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numFmt numFmtId="165" formatCode="0.0%"/>
    </dxf>
    <dxf>
      <fill>
        <patternFill patternType="solid">
          <bgColor theme="7" tint="0.79998168889431442"/>
        </patternFill>
      </fill>
    </dxf>
    <dxf>
      <fill>
        <patternFill patternType="solid">
          <bgColor theme="7" tint="0.79998168889431442"/>
        </patternFill>
      </fill>
    </dxf>
    <dxf>
      <fill>
        <patternFill patternType="solid">
          <bgColor theme="7" tint="0.79998168889431442"/>
        </patternFill>
      </fill>
    </dxf>
    <dxf>
      <fill>
        <patternFill patternType="solid">
          <bgColor theme="7" tint="0.79998168889431442"/>
        </patternFill>
      </fill>
    </dxf>
    <dxf>
      <fill>
        <patternFill patternType="solid">
          <bgColor theme="7" tint="0.79998168889431442"/>
        </patternFill>
      </fill>
    </dxf>
    <dxf>
      <fill>
        <patternFill patternType="solid">
          <bgColor theme="7" tint="0.79998168889431442"/>
        </patternFill>
      </fill>
    </dxf>
    <dxf>
      <numFmt numFmtId="166" formatCode="_(* #,##0.0_);_(* \(#,##0.0\);_(* &quot;-&quot;??_);_(@_)"/>
    </dxf>
    <dxf>
      <numFmt numFmtId="35" formatCode="_(* #,##0.00_);_(* \(#,##0.00\);_(* &quot;-&quot;??_);_(@_)"/>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numFmt numFmtId="14" formatCode="0.00%"/>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numFmt numFmtId="14" formatCode="0.00%"/>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patternType="solid">
          <bgColor theme="7"/>
        </patternFill>
      </fill>
    </dxf>
    <dxf>
      <fill>
        <patternFill patternType="solid">
          <bgColor theme="7"/>
        </patternFill>
      </fill>
    </dxf>
    <dxf>
      <fill>
        <patternFill patternType="solid">
          <bgColor theme="7"/>
        </patternFill>
      </fill>
    </dxf>
    <dxf>
      <fill>
        <patternFill patternType="solid">
          <bgColor theme="7"/>
        </patternFill>
      </fill>
    </dxf>
    <dxf>
      <fill>
        <patternFill patternType="solid">
          <bgColor theme="7"/>
        </patternFill>
      </fill>
    </dxf>
    <dxf>
      <fill>
        <patternFill patternType="solid">
          <bgColor theme="7"/>
        </patternFill>
      </fill>
    </dxf>
    <dxf>
      <font>
        <color auto="1"/>
      </font>
    </dxf>
    <dxf>
      <font>
        <color auto="1"/>
      </font>
    </dxf>
    <dxf>
      <font>
        <b/>
      </font>
    </dxf>
    <dxf>
      <font>
        <b/>
      </font>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numFmt numFmtId="35" formatCode="_(* #,##0.00_);_(* \(#,##0.00\);_(* &quot;-&quot;??_);_(@_)"/>
    </dxf>
    <dxf>
      <fill>
        <patternFill>
          <bgColor theme="7" tint="0.79998168889431442"/>
        </patternFill>
      </fill>
    </dxf>
    <dxf>
      <fill>
        <patternFill>
          <bgColor theme="7" tint="0.79998168889431442"/>
        </patternFill>
      </fill>
    </dxf>
    <dxf>
      <fill>
        <patternFill patternType="solid">
          <bgColor theme="7"/>
        </patternFill>
      </fill>
    </dxf>
    <dxf>
      <fill>
        <patternFill patternType="solid">
          <bgColor theme="7"/>
        </patternFill>
      </fill>
    </dxf>
    <dxf>
      <fill>
        <patternFill patternType="solid">
          <bgColor theme="7"/>
        </patternFill>
      </fill>
    </dxf>
    <dxf>
      <fill>
        <patternFill patternType="solid">
          <bgColor theme="7"/>
        </patternFill>
      </fill>
    </dxf>
    <dxf>
      <fill>
        <patternFill patternType="solid">
          <bgColor theme="7"/>
        </patternFill>
      </fill>
    </dxf>
    <dxf>
      <fill>
        <patternFill patternType="solid">
          <bgColor theme="7"/>
        </patternFill>
      </fill>
    </dxf>
    <dxf>
      <fill>
        <patternFill patternType="solid">
          <bgColor theme="7"/>
        </patternFill>
      </fill>
    </dxf>
    <dxf>
      <fill>
        <patternFill patternType="solid">
          <bgColor theme="7"/>
        </patternFill>
      </fill>
    </dxf>
    <dxf>
      <fill>
        <patternFill patternType="solid">
          <bgColor theme="7"/>
        </patternFill>
      </fill>
    </dxf>
    <dxf>
      <fill>
        <patternFill patternType="solid">
          <bgColor theme="7"/>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patternType="solid">
          <bgColor theme="7"/>
        </patternFill>
      </fill>
    </dxf>
    <dxf>
      <fill>
        <patternFill patternType="solid">
          <bgColor theme="7"/>
        </patternFill>
      </fill>
    </dxf>
    <dxf>
      <fill>
        <patternFill patternType="solid">
          <bgColor theme="7"/>
        </patternFill>
      </fill>
    </dxf>
    <dxf>
      <fill>
        <patternFill patternType="solid">
          <bgColor theme="7"/>
        </patternFill>
      </fill>
    </dxf>
    <dxf>
      <fill>
        <patternFill patternType="solid">
          <bgColor theme="7"/>
        </patternFill>
      </fill>
    </dxf>
    <dxf>
      <fill>
        <patternFill patternType="solid">
          <bgColor theme="7"/>
        </patternFill>
      </fill>
    </dxf>
    <dxf>
      <fill>
        <patternFill patternType="solid">
          <bgColor theme="7"/>
        </patternFill>
      </fill>
    </dxf>
    <dxf>
      <fill>
        <patternFill patternType="solid">
          <bgColor theme="7"/>
        </patternFill>
      </fill>
    </dxf>
    <dxf>
      <fill>
        <patternFill patternType="solid">
          <bgColor theme="7"/>
        </patternFill>
      </fill>
    </dxf>
    <dxf>
      <fill>
        <patternFill patternType="solid">
          <bgColor theme="7"/>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numFmt numFmtId="14" formatCode="0.00%"/>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patternType="solid">
          <bgColor theme="7"/>
        </patternFill>
      </fill>
    </dxf>
    <dxf>
      <fill>
        <patternFill patternType="solid">
          <bgColor theme="7"/>
        </patternFill>
      </fill>
    </dxf>
    <dxf>
      <fill>
        <patternFill patternType="solid">
          <bgColor theme="7"/>
        </patternFill>
      </fill>
    </dxf>
    <dxf>
      <fill>
        <patternFill patternType="solid">
          <bgColor theme="7"/>
        </patternFill>
      </fill>
    </dxf>
    <dxf>
      <fill>
        <patternFill patternType="solid">
          <bgColor theme="7"/>
        </patternFill>
      </fill>
    </dxf>
    <dxf>
      <fill>
        <patternFill patternType="solid">
          <bgColor theme="7"/>
        </patternFill>
      </fill>
    </dxf>
    <dxf>
      <numFmt numFmtId="35" formatCode="_(* #,##0.00_);_(* \(#,##0.00\);_(* &quot;-&quot;??_);_(@_)"/>
    </dxf>
    <dxf>
      <numFmt numFmtId="35" formatCode="_(* #,##0.00_);_(* \(#,##0.00\);_(* &quot;-&quot;??_);_(@_)"/>
    </dxf>
    <dxf>
      <numFmt numFmtId="35" formatCode="_(* #,##0.00_);_(* \(#,##0.00\);_(* &quot;-&quot;??_);_(@_)"/>
    </dxf>
    <dxf>
      <numFmt numFmtId="35" formatCode="_(* #,##0.00_);_(* \(#,##0.00\);_(* &quot;-&quot;??_);_(@_)"/>
    </dxf>
    <dxf>
      <numFmt numFmtId="35" formatCode="_(* #,##0.00_);_(* \(#,##0.00\);_(* &quot;-&quot;??_);_(@_)"/>
    </dxf>
    <dxf>
      <numFmt numFmtId="35" formatCode="_(* #,##0.00_);_(* \(#,##0.00\);_(* &quot;-&quot;??_);_(@_)"/>
    </dxf>
    <dxf>
      <numFmt numFmtId="35" formatCode="_(* #,##0.00_);_(* \(#,##0.00\);_(* &quot;-&quot;??_);_(@_)"/>
    </dxf>
    <dxf>
      <numFmt numFmtId="35" formatCode="_(* #,##0.00_);_(* \(#,##0.00\);_(* &quot;-&quot;??_);_(@_)"/>
    </dxf>
    <dxf>
      <numFmt numFmtId="35" formatCode="_(* #,##0.00_);_(* \(#,##0.00\);_(* &quot;-&quot;??_);_(@_)"/>
    </dxf>
    <dxf>
      <numFmt numFmtId="35" formatCode="_(* #,##0.00_);_(* \(#,##0.00\);_(* &quot;-&quot;??_);_(@_)"/>
    </dxf>
    <dxf>
      <fill>
        <patternFill patternType="solid">
          <bgColor theme="7" tint="0.79998168889431442"/>
        </patternFill>
      </fill>
    </dxf>
    <dxf>
      <fill>
        <patternFill patternType="solid">
          <bgColor theme="7" tint="0.79998168889431442"/>
        </patternFill>
      </fill>
    </dxf>
    <dxf>
      <fill>
        <patternFill patternType="solid">
          <bgColor theme="7" tint="0.79998168889431442"/>
        </patternFill>
      </fill>
    </dxf>
    <dxf>
      <fill>
        <patternFill patternType="solid">
          <bgColor theme="7" tint="0.79998168889431442"/>
        </patternFill>
      </fill>
    </dxf>
    <dxf>
      <fill>
        <patternFill patternType="solid">
          <bgColor theme="7" tint="0.79998168889431442"/>
        </patternFill>
      </fill>
    </dxf>
    <dxf>
      <fill>
        <patternFill patternType="solid">
          <bgColor theme="7" tint="0.79998168889431442"/>
        </patternFill>
      </fill>
    </dxf>
    <dxf>
      <fill>
        <patternFill patternType="solid">
          <bgColor theme="7" tint="0.79998168889431442"/>
        </patternFill>
      </fill>
    </dxf>
    <dxf>
      <fill>
        <patternFill patternType="solid">
          <bgColor theme="7" tint="0.79998168889431442"/>
        </patternFill>
      </fill>
    </dxf>
    <dxf>
      <fill>
        <patternFill patternType="solid">
          <bgColor theme="7" tint="0.79998168889431442"/>
        </patternFill>
      </fill>
    </dxf>
    <dxf>
      <fill>
        <patternFill patternType="solid">
          <bgColor theme="7" tint="0.79998168889431442"/>
        </patternFill>
      </fill>
    </dxf>
    <dxf>
      <numFmt numFmtId="14" formatCode="0.00%"/>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numFmt numFmtId="35" formatCode="_(* #,##0.00_);_(* \(#,##0.00\);_(* &quot;-&quot;??_);_(@_)"/>
    </dxf>
    <dxf>
      <numFmt numFmtId="166" formatCode="_(* #,##0.0_);_(* \(#,##0.0\);_(* &quot;-&quot;??_);_(@_)"/>
    </dxf>
    <dxf>
      <fill>
        <patternFill patternType="solid">
          <bgColor theme="7" tint="0.79998168889431442"/>
        </patternFill>
      </fill>
    </dxf>
    <dxf>
      <fill>
        <patternFill patternType="solid">
          <bgColor theme="7" tint="0.79998168889431442"/>
        </patternFill>
      </fill>
    </dxf>
    <dxf>
      <fill>
        <patternFill patternType="solid">
          <bgColor theme="7" tint="0.79998168889431442"/>
        </patternFill>
      </fill>
    </dxf>
    <dxf>
      <fill>
        <patternFill patternType="solid">
          <bgColor theme="7" tint="0.79998168889431442"/>
        </patternFill>
      </fill>
    </dxf>
    <dxf>
      <fill>
        <patternFill patternType="solid">
          <bgColor theme="7" tint="0.79998168889431442"/>
        </patternFill>
      </fill>
    </dxf>
    <dxf>
      <fill>
        <patternFill patternType="solid">
          <bgColor theme="7" tint="0.79998168889431442"/>
        </patternFill>
      </fill>
    </dxf>
    <dxf>
      <numFmt numFmtId="165" formatCode="0.0%"/>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patternType="solid">
          <bgColor theme="7" tint="0.79998168889431442"/>
        </patternFill>
      </fill>
    </dxf>
    <dxf>
      <fill>
        <patternFill patternType="solid">
          <bgColor theme="7" tint="0.79998168889431442"/>
        </patternFill>
      </fill>
    </dxf>
    <dxf>
      <fill>
        <patternFill patternType="solid">
          <bgColor theme="7" tint="0.79998168889431442"/>
        </patternFill>
      </fill>
    </dxf>
    <dxf>
      <fill>
        <patternFill patternType="solid">
          <bgColor theme="7" tint="0.79998168889431442"/>
        </patternFill>
      </fill>
    </dxf>
    <dxf>
      <fill>
        <patternFill patternType="solid">
          <bgColor theme="7" tint="0.79998168889431442"/>
        </patternFill>
      </fill>
    </dxf>
    <dxf>
      <fill>
        <patternFill patternType="solid">
          <bgColor theme="7" tint="0.79998168889431442"/>
        </patternFill>
      </fill>
    </dxf>
    <dxf>
      <fill>
        <patternFill patternType="solid">
          <bgColor theme="7" tint="0.79998168889431442"/>
        </patternFill>
      </fill>
    </dxf>
    <dxf>
      <fill>
        <patternFill patternType="solid">
          <bgColor theme="7" tint="0.79998168889431442"/>
        </patternFill>
      </fill>
    </dxf>
    <dxf>
      <fill>
        <patternFill patternType="solid">
          <bgColor theme="7" tint="0.79998168889431442"/>
        </patternFill>
      </fill>
    </dxf>
    <dxf>
      <fill>
        <patternFill patternType="solid">
          <bgColor theme="7" tint="0.79998168889431442"/>
        </patternFill>
      </fill>
    </dxf>
    <dxf>
      <fill>
        <patternFill patternType="solid">
          <bgColor theme="7" tint="0.79998168889431442"/>
        </patternFill>
      </fill>
    </dxf>
    <dxf>
      <fill>
        <patternFill patternType="solid">
          <bgColor theme="7" tint="0.79998168889431442"/>
        </patternFill>
      </fill>
    </dxf>
    <dxf>
      <fill>
        <patternFill patternType="solid">
          <bgColor theme="7" tint="0.79998168889431442"/>
        </patternFill>
      </fill>
    </dxf>
    <dxf>
      <fill>
        <patternFill patternType="solid">
          <bgColor theme="7" tint="0.79998168889431442"/>
        </patternFill>
      </fill>
    </dxf>
    <dxf>
      <fill>
        <patternFill patternType="solid">
          <bgColor theme="7" tint="0.79998168889431442"/>
        </patternFill>
      </fill>
    </dxf>
    <dxf>
      <fill>
        <patternFill patternType="solid">
          <bgColor theme="7" tint="0.79998168889431442"/>
        </patternFill>
      </fill>
    </dxf>
    <dxf>
      <fill>
        <patternFill patternType="solid">
          <bgColor theme="9" tint="0.59999389629810485"/>
        </patternFill>
      </fill>
    </dxf>
    <dxf>
      <fill>
        <patternFill patternType="solid">
          <bgColor theme="9" tint="0.59999389629810485"/>
        </patternFill>
      </fill>
    </dxf>
    <dxf>
      <fill>
        <patternFill patternType="solid">
          <bgColor theme="9" tint="0.59999389629810485"/>
        </patternFill>
      </fill>
    </dxf>
    <dxf>
      <fill>
        <patternFill patternType="solid">
          <bgColor theme="9" tint="0.59999389629810485"/>
        </patternFill>
      </fill>
    </dxf>
    <dxf>
      <fill>
        <patternFill patternType="solid">
          <bgColor theme="9" tint="0.59999389629810485"/>
        </patternFill>
      </fill>
    </dxf>
    <dxf>
      <fill>
        <patternFill patternType="solid">
          <bgColor theme="9" tint="0.59999389629810485"/>
        </patternFill>
      </fill>
    </dxf>
    <dxf>
      <numFmt numFmtId="13" formatCode="0%"/>
    </dxf>
    <dxf>
      <fill>
        <patternFill patternType="solid">
          <bgColor theme="7" tint="0.79998168889431442"/>
        </patternFill>
      </fill>
    </dxf>
    <dxf>
      <fill>
        <patternFill patternType="solid">
          <bgColor theme="7" tint="0.79998168889431442"/>
        </patternFill>
      </fill>
    </dxf>
    <dxf>
      <fill>
        <patternFill patternType="solid">
          <bgColor theme="7" tint="0.79998168889431442"/>
        </patternFill>
      </fill>
    </dxf>
    <dxf>
      <fill>
        <patternFill patternType="solid">
          <bgColor theme="7" tint="0.79998168889431442"/>
        </patternFill>
      </fill>
    </dxf>
    <dxf>
      <fill>
        <patternFill patternType="solid">
          <bgColor theme="7" tint="0.79998168889431442"/>
        </patternFill>
      </fill>
    </dxf>
    <dxf>
      <fill>
        <patternFill patternType="solid">
          <bgColor theme="7" tint="0.79998168889431442"/>
        </patternFill>
      </fill>
    </dxf>
    <dxf>
      <fill>
        <patternFill patternType="solid">
          <bgColor theme="7" tint="0.79998168889431442"/>
        </patternFill>
      </fill>
    </dxf>
    <dxf>
      <fill>
        <patternFill patternType="solid">
          <bgColor theme="7" tint="0.79998168889431442"/>
        </patternFill>
      </fill>
    </dxf>
    <dxf>
      <fill>
        <patternFill patternType="solid">
          <bgColor theme="7" tint="0.79998168889431442"/>
        </patternFill>
      </fill>
    </dxf>
    <dxf>
      <fill>
        <patternFill patternType="solid">
          <bgColor theme="7" tint="0.79998168889431442"/>
        </patternFill>
      </fill>
    </dxf>
    <dxf>
      <numFmt numFmtId="164" formatCode="_(* #,##0_);_(* \(#,##0\);_(* &quot;-&quot;??_);_(@_)"/>
    </dxf>
    <dxf>
      <numFmt numFmtId="164" formatCode="_(* #,##0_);_(* \(#,##0\);_(* &quot;-&quot;??_);_(@_)"/>
    </dxf>
    <dxf>
      <numFmt numFmtId="164" formatCode="_(* #,##0_);_(* \(#,##0\);_(* &quot;-&quot;??_);_(@_)"/>
    </dxf>
    <dxf>
      <numFmt numFmtId="164" formatCode="_(* #,##0_);_(* \(#,##0\);_(* &quot;-&quot;??_);_(@_)"/>
    </dxf>
    <dxf>
      <numFmt numFmtId="164" formatCode="_(* #,##0_);_(* \(#,##0\);_(* &quot;-&quot;??_);_(@_)"/>
    </dxf>
    <dxf>
      <numFmt numFmtId="164" formatCode="_(* #,##0_);_(* \(#,##0\);_(* &quot;-&quot;??_);_(@_)"/>
    </dxf>
    <dxf>
      <numFmt numFmtId="164" formatCode="_(* #,##0_);_(* \(#,##0\);_(* &quot;-&quot;??_);_(@_)"/>
    </dxf>
    <dxf>
      <numFmt numFmtId="164" formatCode="_(* #,##0_);_(* \(#,##0\);_(* &quot;-&quot;??_);_(@_)"/>
    </dxf>
    <dxf>
      <numFmt numFmtId="164" formatCode="_(* #,##0_);_(* \(#,##0\);_(* &quot;-&quot;??_);_(@_)"/>
    </dxf>
    <dxf>
      <numFmt numFmtId="164" formatCode="_(* #,##0_);_(* \(#,##0\);_(* &quot;-&quot;??_);_(@_)"/>
    </dxf>
    <dxf>
      <fill>
        <patternFill patternType="solid">
          <bgColor theme="7" tint="0.79998168889431442"/>
        </patternFill>
      </fill>
    </dxf>
    <dxf>
      <fill>
        <patternFill patternType="solid">
          <bgColor theme="7" tint="0.79998168889431442"/>
        </patternFill>
      </fill>
    </dxf>
    <dxf>
      <fill>
        <patternFill patternType="solid">
          <bgColor theme="7" tint="0.79998168889431442"/>
        </patternFill>
      </fill>
    </dxf>
    <dxf>
      <fill>
        <patternFill patternType="solid">
          <bgColor theme="7" tint="0.79998168889431442"/>
        </patternFill>
      </fill>
    </dxf>
    <dxf>
      <fill>
        <patternFill patternType="solid">
          <bgColor theme="7" tint="0.79998168889431442"/>
        </patternFill>
      </fill>
    </dxf>
    <dxf>
      <fill>
        <patternFill patternType="solid">
          <bgColor theme="7" tint="0.79998168889431442"/>
        </patternFill>
      </fill>
    </dxf>
    <dxf>
      <fill>
        <patternFill patternType="solid">
          <bgColor theme="7" tint="0.79998168889431442"/>
        </patternFill>
      </fill>
    </dxf>
    <dxf>
      <fill>
        <patternFill patternType="solid">
          <bgColor theme="7" tint="0.79998168889431442"/>
        </patternFill>
      </fill>
    </dxf>
    <dxf>
      <fill>
        <patternFill patternType="solid">
          <bgColor theme="7" tint="0.79998168889431442"/>
        </patternFill>
      </fill>
    </dxf>
    <dxf>
      <fill>
        <patternFill patternType="solid">
          <bgColor theme="7" tint="0.79998168889431442"/>
        </patternFill>
      </fill>
    </dxf>
    <dxf>
      <numFmt numFmtId="164" formatCode="_(* #,##0_);_(* \(#,##0\);_(* &quot;-&quot;??_);_(@_)"/>
    </dxf>
    <dxf>
      <numFmt numFmtId="164" formatCode="_(* #,##0_);_(* \(#,##0\);_(* &quot;-&quot;??_);_(@_)"/>
    </dxf>
    <dxf>
      <numFmt numFmtId="164" formatCode="_(* #,##0_);_(* \(#,##0\);_(* &quot;-&quot;??_);_(@_)"/>
    </dxf>
    <dxf>
      <numFmt numFmtId="164" formatCode="_(* #,##0_);_(* \(#,##0\);_(* &quot;-&quot;??_);_(@_)"/>
    </dxf>
    <dxf>
      <numFmt numFmtId="164" formatCode="_(* #,##0_);_(* \(#,##0\);_(* &quot;-&quot;??_);_(@_)"/>
    </dxf>
    <dxf>
      <numFmt numFmtId="164" formatCode="_(* #,##0_);_(* \(#,##0\);_(* &quot;-&quot;??_);_(@_)"/>
    </dxf>
    <dxf>
      <numFmt numFmtId="164" formatCode="_(* #,##0_);_(* \(#,##0\);_(* &quot;-&quot;??_);_(@_)"/>
    </dxf>
    <dxf>
      <numFmt numFmtId="164" formatCode="_(* #,##0_);_(* \(#,##0\);_(* &quot;-&quot;??_);_(@_)"/>
    </dxf>
    <dxf>
      <numFmt numFmtId="164" formatCode="_(* #,##0_);_(* \(#,##0\);_(* &quot;-&quot;??_);_(@_)"/>
    </dxf>
    <dxf>
      <numFmt numFmtId="164" formatCode="_(* #,##0_);_(* \(#,##0\);_(* &quot;-&quot;??_);_(@_)"/>
    </dxf>
    <dxf>
      <fill>
        <patternFill patternType="solid">
          <bgColor theme="7" tint="0.79998168889431442"/>
        </patternFill>
      </fill>
    </dxf>
    <dxf>
      <fill>
        <patternFill patternType="solid">
          <bgColor theme="7" tint="0.79998168889431442"/>
        </patternFill>
      </fill>
    </dxf>
    <dxf>
      <fill>
        <patternFill patternType="solid">
          <bgColor theme="7" tint="0.79998168889431442"/>
        </patternFill>
      </fill>
    </dxf>
    <dxf>
      <fill>
        <patternFill patternType="solid">
          <bgColor theme="7" tint="0.79998168889431442"/>
        </patternFill>
      </fill>
    </dxf>
    <dxf>
      <fill>
        <patternFill patternType="solid">
          <bgColor theme="7" tint="0.79998168889431442"/>
        </patternFill>
      </fill>
    </dxf>
    <dxf>
      <fill>
        <patternFill patternType="solid">
          <bgColor theme="7" tint="0.79998168889431442"/>
        </patternFill>
      </fill>
    </dxf>
    <dxf>
      <fill>
        <patternFill patternType="solid">
          <bgColor theme="7" tint="0.79998168889431442"/>
        </patternFill>
      </fill>
    </dxf>
    <dxf>
      <fill>
        <patternFill patternType="solid">
          <bgColor theme="7" tint="0.79998168889431442"/>
        </patternFill>
      </fill>
    </dxf>
    <dxf>
      <fill>
        <patternFill patternType="solid">
          <bgColor theme="7" tint="0.79998168889431442"/>
        </patternFill>
      </fill>
    </dxf>
    <dxf>
      <fill>
        <patternFill patternType="solid">
          <bgColor theme="7" tint="0.79998168889431442"/>
        </patternFill>
      </fill>
    </dxf>
    <dxf>
      <numFmt numFmtId="164" formatCode="_(* #,##0_);_(* \(#,##0\);_(* &quot;-&quot;??_);_(@_)"/>
    </dxf>
    <dxf>
      <numFmt numFmtId="164" formatCode="_(* #,##0_);_(* \(#,##0\);_(* &quot;-&quot;??_);_(@_)"/>
    </dxf>
    <dxf>
      <numFmt numFmtId="164" formatCode="_(* #,##0_);_(* \(#,##0\);_(* &quot;-&quot;??_);_(@_)"/>
    </dxf>
    <dxf>
      <numFmt numFmtId="164" formatCode="_(* #,##0_);_(* \(#,##0\);_(* &quot;-&quot;??_);_(@_)"/>
    </dxf>
    <dxf>
      <numFmt numFmtId="164" formatCode="_(* #,##0_);_(* \(#,##0\);_(* &quot;-&quot;??_);_(@_)"/>
    </dxf>
    <dxf>
      <numFmt numFmtId="164" formatCode="_(* #,##0_);_(* \(#,##0\);_(* &quot;-&quot;??_);_(@_)"/>
    </dxf>
    <dxf>
      <numFmt numFmtId="164" formatCode="_(* #,##0_);_(* \(#,##0\);_(* &quot;-&quot;??_);_(@_)"/>
    </dxf>
    <dxf>
      <numFmt numFmtId="164" formatCode="_(* #,##0_);_(* \(#,##0\);_(* &quot;-&quot;??_);_(@_)"/>
    </dxf>
    <dxf>
      <numFmt numFmtId="164" formatCode="_(* #,##0_);_(* \(#,##0\);_(* &quot;-&quot;??_);_(@_)"/>
    </dxf>
    <dxf>
      <numFmt numFmtId="164" formatCode="_(* #,##0_);_(* \(#,##0\);_(* &quot;-&quot;??_);_(@_)"/>
    </dxf>
    <dxf>
      <fill>
        <patternFill patternType="solid">
          <bgColor theme="9" tint="0.59999389629810485"/>
        </patternFill>
      </fill>
    </dxf>
    <dxf>
      <fill>
        <patternFill patternType="solid">
          <bgColor theme="9" tint="0.59999389629810485"/>
        </patternFill>
      </fill>
    </dxf>
    <dxf>
      <fill>
        <patternFill patternType="solid">
          <bgColor theme="9" tint="0.59999389629810485"/>
        </patternFill>
      </fill>
    </dxf>
    <dxf>
      <fill>
        <patternFill patternType="solid">
          <bgColor theme="9" tint="0.59999389629810485"/>
        </patternFill>
      </fill>
    </dxf>
    <dxf>
      <fill>
        <patternFill patternType="solid">
          <bgColor theme="9" tint="0.59999389629810485"/>
        </patternFill>
      </fill>
    </dxf>
    <dxf>
      <fill>
        <patternFill patternType="solid">
          <bgColor theme="9" tint="0.59999389629810485"/>
        </patternFill>
      </fill>
    </dxf>
    <dxf>
      <numFmt numFmtId="14" formatCode="0.00%"/>
    </dxf>
    <dxf>
      <numFmt numFmtId="164" formatCode="_(* #,##0_);_(* \(#,##0\);_(* &quot;-&quot;??_);_(@_)"/>
    </dxf>
    <dxf>
      <numFmt numFmtId="13" formatCode="0%"/>
    </dxf>
    <dxf>
      <numFmt numFmtId="0" formatCode="General"/>
    </dxf>
    <dxf>
      <numFmt numFmtId="0" formatCode="General"/>
    </dxf>
    <dxf>
      <numFmt numFmtId="0" formatCode="General"/>
    </dxf>
    <dxf>
      <numFmt numFmtId="0" formatCode="General"/>
    </dxf>
    <dxf>
      <font>
        <b val="0"/>
        <i val="0"/>
        <strike val="0"/>
        <condense val="0"/>
        <extend val="0"/>
        <outline val="0"/>
        <shadow val="0"/>
        <u val="none"/>
        <vertAlign val="baseline"/>
        <sz val="11"/>
        <color theme="1"/>
        <name val="Calibri"/>
        <family val="2"/>
        <scheme val="minor"/>
      </font>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ill>
        <patternFill>
          <bgColor theme="9" tint="0.39994506668294322"/>
        </patternFill>
      </fill>
    </dxf>
    <dxf>
      <fill>
        <patternFill patternType="none">
          <bgColor auto="1"/>
        </patternFill>
      </fill>
    </dxf>
    <dxf>
      <fill>
        <patternFill patternType="none">
          <bgColor auto="1"/>
        </patternFill>
      </fill>
    </dxf>
    <dxf>
      <fill>
        <patternFill>
          <fgColor rgb="FF00FFFF"/>
        </patternFill>
      </fill>
    </dxf>
  </dxfs>
  <tableStyles count="4" defaultTableStyle="TableStyleMedium2" defaultPivotStyle="PivotStyleLight16">
    <tableStyle name="Slicer Style 1" pivot="0" table="0" count="1" xr9:uid="{1051471D-39B7-4488-B5D4-4FD66D9AA668}">
      <tableStyleElement type="wholeTable" dxfId="343"/>
    </tableStyle>
    <tableStyle name="Slicer Style 2" pivot="0" table="0" count="1" xr9:uid="{1E141C0A-B4AE-4579-BB89-F49A22C74F67}">
      <tableStyleElement type="wholeTable" dxfId="342"/>
    </tableStyle>
    <tableStyle name="Slicer Style 3" pivot="0" table="0" count="7" xr9:uid="{EE22575F-6853-4650-9C85-2FB40F941D12}">
      <tableStyleElement type="wholeTable" dxfId="341"/>
      <tableStyleElement type="headerRow" dxfId="340"/>
    </tableStyle>
    <tableStyle name="Slicer Style 4" pivot="0" table="0" count="1" xr9:uid="{A20D7D22-412A-417E-90C6-CFFD89A1CF5F}"/>
  </tableStyles>
  <colors>
    <mruColors>
      <color rgb="FF8BDBA9"/>
      <color rgb="FF00FFFF"/>
    </mruColors>
  </colors>
  <extLst>
    <ext xmlns:x14="http://schemas.microsoft.com/office/spreadsheetml/2009/9/main" uri="{46F421CA-312F-682f-3DD2-61675219B42D}">
      <x14:dxfs count="6">
        <dxf>
          <fill>
            <patternFill>
              <bgColor rgb="FFFF0000"/>
            </patternFill>
          </fill>
        </dxf>
        <dxf>
          <fill>
            <patternFill>
              <bgColor theme="7" tint="0.79998168889431442"/>
            </patternFill>
          </fill>
        </dxf>
        <dxf>
          <fill>
            <patternFill>
              <bgColor rgb="FFFFFF00"/>
            </patternFill>
          </fill>
        </dxf>
        <dxf>
          <fill>
            <patternFill>
              <bgColor rgb="FFFFC000"/>
            </patternFill>
          </fill>
        </dxf>
        <dxf>
          <fill>
            <patternFill>
              <bgColor rgb="FFC00000"/>
            </patternFill>
          </fill>
        </dxf>
        <dxf>
          <fill>
            <patternFill>
              <bgColor rgb="FF00B050"/>
            </patternFill>
          </fill>
        </dxf>
      </x14:dxfs>
    </ext>
    <ext xmlns:x14="http://schemas.microsoft.com/office/spreadsheetml/2009/9/main" uri="{EB79DEF2-80B8-43e5-95BD-54CBDDF9020C}">
      <x14:slicerStyles defaultSlicerStyle="SlicerStyleLight1">
        <x14:slicerStyle name="Slicer Style 1"/>
        <x14:slicerStyle name="Slicer Style 2"/>
        <x14:slicerStyle name="Slicer Style 3">
          <x14:slicerStyleElements>
            <x14:slicerStyleElement type="unselectedItemWithData" dxfId="5"/>
            <x14:slicerStyleElement type="unselectedItemWithNoData" dxfId="4"/>
            <x14:slicerStyleElement type="selectedItemWithData" dxfId="3"/>
            <x14:slicerStyleElement type="selectedItemWithNoData" dxfId="2"/>
            <x14:slicerStyleElement type="hoveredSelectedItemWithData" dxfId="1"/>
          </x14:slicerStyleElements>
        </x14:slicerStyle>
        <x14:slicerStyle name="Slicer Style 4">
          <x14:slicerStyleElements>
            <x14:slicerStyleElement type="hoveredUn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pivotCacheDefinition" Target="pivotCache/pivotCacheDefinition3.xml"/><Relationship Id="rId18" Type="http://schemas.openxmlformats.org/officeDocument/2006/relationships/pivotCacheDefinition" Target="pivotCache/pivotCacheDefinition8.xml"/><Relationship Id="rId26" Type="http://schemas.openxmlformats.org/officeDocument/2006/relationships/pivotCacheDefinition" Target="pivotCache/pivotCacheDefinition16.xml"/><Relationship Id="rId39" Type="http://schemas.openxmlformats.org/officeDocument/2006/relationships/theme" Target="theme/theme1.xml"/><Relationship Id="rId21" Type="http://schemas.openxmlformats.org/officeDocument/2006/relationships/pivotCacheDefinition" Target="pivotCache/pivotCacheDefinition11.xml"/><Relationship Id="rId34" Type="http://schemas.microsoft.com/office/2007/relationships/slicerCache" Target="slicerCaches/slicerCache8.xml"/><Relationship Id="rId42" Type="http://schemas.openxmlformats.org/officeDocument/2006/relationships/sharedStrings" Target="sharedStrings.xml"/><Relationship Id="rId47" Type="http://schemas.microsoft.com/office/2006/relationships/vbaProject" Target="vbaProject.bin"/><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pivotCacheDefinition" Target="pivotCache/pivotCacheDefinition6.xml"/><Relationship Id="rId29" Type="http://schemas.microsoft.com/office/2007/relationships/slicerCache" Target="slicerCaches/slicerCache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pivotCacheDefinition" Target="pivotCache/pivotCacheDefinition1.xml"/><Relationship Id="rId24" Type="http://schemas.openxmlformats.org/officeDocument/2006/relationships/pivotCacheDefinition" Target="pivotCache/pivotCacheDefinition14.xml"/><Relationship Id="rId32" Type="http://schemas.microsoft.com/office/2007/relationships/slicerCache" Target="slicerCaches/slicerCache6.xml"/><Relationship Id="rId37" Type="http://schemas.microsoft.com/office/2007/relationships/slicerCache" Target="slicerCaches/slicerCache11.xml"/><Relationship Id="rId40" Type="http://schemas.openxmlformats.org/officeDocument/2006/relationships/connections" Target="connections.xml"/><Relationship Id="rId45"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pivotCacheDefinition" Target="pivotCache/pivotCacheDefinition5.xml"/><Relationship Id="rId23" Type="http://schemas.openxmlformats.org/officeDocument/2006/relationships/pivotCacheDefinition" Target="pivotCache/pivotCacheDefinition13.xml"/><Relationship Id="rId28" Type="http://schemas.microsoft.com/office/2007/relationships/slicerCache" Target="slicerCaches/slicerCache2.xml"/><Relationship Id="rId36" Type="http://schemas.microsoft.com/office/2007/relationships/slicerCache" Target="slicerCaches/slicerCache10.xml"/><Relationship Id="rId10" Type="http://schemas.openxmlformats.org/officeDocument/2006/relationships/worksheet" Target="worksheets/sheet10.xml"/><Relationship Id="rId19" Type="http://schemas.openxmlformats.org/officeDocument/2006/relationships/pivotCacheDefinition" Target="pivotCache/pivotCacheDefinition9.xml"/><Relationship Id="rId31" Type="http://schemas.microsoft.com/office/2007/relationships/slicerCache" Target="slicerCaches/slicerCache5.xml"/><Relationship Id="rId44" Type="http://schemas.openxmlformats.org/officeDocument/2006/relationships/powerPivotData" Target="model/item.data"/><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pivotCacheDefinition" Target="pivotCache/pivotCacheDefinition4.xml"/><Relationship Id="rId22" Type="http://schemas.openxmlformats.org/officeDocument/2006/relationships/pivotCacheDefinition" Target="pivotCache/pivotCacheDefinition12.xml"/><Relationship Id="rId27" Type="http://schemas.microsoft.com/office/2007/relationships/slicerCache" Target="slicerCaches/slicerCache1.xml"/><Relationship Id="rId30" Type="http://schemas.microsoft.com/office/2007/relationships/slicerCache" Target="slicerCaches/slicerCache4.xml"/><Relationship Id="rId35" Type="http://schemas.microsoft.com/office/2007/relationships/slicerCache" Target="slicerCaches/slicerCache9.xml"/><Relationship Id="rId43" Type="http://schemas.openxmlformats.org/officeDocument/2006/relationships/sheetMetadata" Target="metadata.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pivotCacheDefinition" Target="pivotCache/pivotCacheDefinition2.xml"/><Relationship Id="rId17" Type="http://schemas.openxmlformats.org/officeDocument/2006/relationships/pivotCacheDefinition" Target="pivotCache/pivotCacheDefinition7.xml"/><Relationship Id="rId25" Type="http://schemas.openxmlformats.org/officeDocument/2006/relationships/pivotCacheDefinition" Target="pivotCache/pivotCacheDefinition15.xml"/><Relationship Id="rId33" Type="http://schemas.microsoft.com/office/2007/relationships/slicerCache" Target="slicerCaches/slicerCache7.xml"/><Relationship Id="rId38" Type="http://schemas.microsoft.com/office/2007/relationships/slicerCache" Target="slicerCaches/slicerCache12.xml"/><Relationship Id="rId46" Type="http://schemas.openxmlformats.org/officeDocument/2006/relationships/customXml" Target="../customXml/item1.xml"/><Relationship Id="rId20" Type="http://schemas.openxmlformats.org/officeDocument/2006/relationships/pivotCacheDefinition" Target="pivotCache/pivotCacheDefinition10.xml"/><Relationship Id="rId41" Type="http://schemas.openxmlformats.org/officeDocument/2006/relationships/styles" Target="style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[Dashboard - DAV Transportation Cost.xlsm]CALCULATION-NGẮN!chi phí</c:name>
    <c:fmtId val="4"/>
  </c:pivotSource>
  <c:chart>
    <c:title>
      <c:tx>
        <c:rich>
          <a:bodyPr rot="0" spcFirstLastPara="1" vertOverflow="ellipsis" vert="horz" wrap="square" anchor="ctr" anchorCtr="1"/>
          <a:lstStyle/>
          <a:p>
            <a:pPr>
              <a:defRPr sz="1800" b="0" i="0" u="none" strike="noStrike" kern="1200" spc="0" baseline="0">
                <a:solidFill>
                  <a:schemeClr val="tx1">
                    <a:lumMod val="65000"/>
                    <a:lumOff val="35000"/>
                  </a:schemeClr>
                </a:solidFill>
                <a:latin typeface="UTM Bebas" panose="02040603050506020204" pitchFamily="18" charset="0"/>
                <a:ea typeface="+mn-ea"/>
                <a:cs typeface="+mn-cs"/>
              </a:defRPr>
            </a:pPr>
            <a:r>
              <a:rPr lang="en-US" sz="1800" b="0">
                <a:solidFill>
                  <a:schemeClr val="accent1">
                    <a:lumMod val="75000"/>
                  </a:schemeClr>
                </a:solidFill>
                <a:latin typeface="UTM Bebas" panose="02040603050506020204" pitchFamily="18" charset="0"/>
              </a:rPr>
              <a:t>COST USING BY MONTH</a:t>
            </a:r>
          </a:p>
        </c:rich>
      </c:tx>
      <c:overlay val="0"/>
      <c:spPr>
        <a:noFill/>
        <a:ln>
          <a:noFill/>
        </a:ln>
        <a:effectLst/>
      </c:spPr>
      <c:txPr>
        <a:bodyPr rot="0" spcFirstLastPara="1" vertOverflow="ellipsis" vert="horz" wrap="square" anchor="ctr" anchorCtr="1"/>
        <a:lstStyle/>
        <a:p>
          <a:pPr>
            <a:defRPr sz="1800" b="0" i="0" u="none" strike="noStrike" kern="1200" spc="0" baseline="0">
              <a:solidFill>
                <a:schemeClr val="tx1">
                  <a:lumMod val="65000"/>
                  <a:lumOff val="35000"/>
                </a:schemeClr>
              </a:solidFill>
              <a:latin typeface="UTM Bebas" panose="02040603050506020204" pitchFamily="18" charset="0"/>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4"/>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0"/>
          <c:showCatName val="0"/>
          <c:showSerName val="0"/>
          <c:showPercent val="0"/>
          <c:showBubbleSize val="0"/>
          <c:extLst>
            <c:ext xmlns:c15="http://schemas.microsoft.com/office/drawing/2012/chart" uri="{CE6537A1-D6FC-4f65-9D91-7224C49458BB}">
              <c15:showDataLabelsRange val="1"/>
            </c:ext>
          </c:extLst>
        </c:dLbl>
      </c:pivotFmt>
      <c:pivotFmt>
        <c:idx val="4"/>
        <c:spPr>
          <a:solidFill>
            <a:schemeClr val="accent1"/>
          </a:solidFill>
          <a:ln w="28575" cap="rnd">
            <a:solidFill>
              <a:schemeClr val="accent2">
                <a:lumMod val="60000"/>
                <a:lumOff val="4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accent2">
                      <a:lumMod val="60000"/>
                      <a:lumOff val="40000"/>
                    </a:schemeClr>
                  </a:solidFill>
                  <a:latin typeface="+mn-lt"/>
                  <a:ea typeface="+mn-ea"/>
                  <a:cs typeface="+mn-cs"/>
                </a:defRPr>
              </a:pPr>
              <a:endParaRPr lang="en-US"/>
            </a:p>
          </c:txPr>
          <c:dLblPos val="t"/>
          <c:showLegendKey val="0"/>
          <c:showVal val="0"/>
          <c:showCatName val="0"/>
          <c:showSerName val="0"/>
          <c:showPercent val="0"/>
          <c:showBubbleSize val="0"/>
          <c:extLst>
            <c:ext xmlns:c15="http://schemas.microsoft.com/office/drawing/2012/chart" uri="{CE6537A1-D6FC-4f65-9D91-7224C49458BB}">
              <c15:showDataLabelsRange val="1"/>
            </c:ext>
          </c:extLst>
        </c:dLbl>
      </c:pivotFmt>
      <c:pivotFmt>
        <c:idx val="5"/>
        <c:spPr>
          <a:solidFill>
            <a:schemeClr val="accent1"/>
          </a:solidFill>
          <a:ln w="28575" cap="rnd">
            <a:solidFill>
              <a:schemeClr val="accent2"/>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0"/>
          <c:showCatName val="0"/>
          <c:showSerName val="0"/>
          <c:showPercent val="0"/>
          <c:showBubbleSize val="0"/>
          <c:extLst>
            <c:ext xmlns:c15="http://schemas.microsoft.com/office/drawing/2012/chart" uri="{CE6537A1-D6FC-4f65-9D91-7224C49458BB}">
              <c15:showDataLabelsRange val="1"/>
            </c:ext>
          </c:extLst>
        </c:dLbl>
      </c:pivotFmt>
      <c:pivotFmt>
        <c:idx val="6"/>
        <c:spPr>
          <a:solidFill>
            <a:schemeClr val="accent1"/>
          </a:solidFill>
          <a:ln w="28575" cap="rnd">
            <a:solidFill>
              <a:schemeClr val="accent5">
                <a:lumMod val="75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0"/>
          <c:showCatName val="0"/>
          <c:showSerName val="0"/>
          <c:showPercent val="0"/>
          <c:showBubbleSize val="0"/>
          <c:extLst>
            <c:ext xmlns:c15="http://schemas.microsoft.com/office/drawing/2012/chart" uri="{CE6537A1-D6FC-4f65-9D91-7224C49458BB}">
              <c15:showDataLabelsRange val="1"/>
            </c:ext>
          </c:extLst>
        </c:dLbl>
      </c:pivotFmt>
      <c:pivotFmt>
        <c:idx val="7"/>
        <c:spPr>
          <a:solidFill>
            <a:schemeClr val="accent1"/>
          </a:solidFill>
          <a:ln w="28575" cap="rnd">
            <a:solidFill>
              <a:schemeClr val="accent3"/>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accent3"/>
                  </a:solidFill>
                  <a:latin typeface="+mn-lt"/>
                  <a:ea typeface="+mn-ea"/>
                  <a:cs typeface="+mn-cs"/>
                </a:defRPr>
              </a:pPr>
              <a:endParaRPr lang="en-US"/>
            </a:p>
          </c:txPr>
          <c:dLblPos val="t"/>
          <c:showLegendKey val="0"/>
          <c:showVal val="0"/>
          <c:showCatName val="0"/>
          <c:showSerName val="0"/>
          <c:showPercent val="0"/>
          <c:showBubbleSize val="0"/>
          <c:extLst>
            <c:ext xmlns:c15="http://schemas.microsoft.com/office/drawing/2012/chart" uri="{CE6537A1-D6FC-4f65-9D91-7224C49458BB}">
              <c15:showDataLabelsRange val="1"/>
            </c:ext>
          </c:extLst>
        </c:dLbl>
      </c:pivotFmt>
      <c:pivotFmt>
        <c:idx val="8"/>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rgbClr val="FF0000"/>
                  </a:solidFill>
                  <a:latin typeface="+mn-lt"/>
                  <a:ea typeface="+mn-ea"/>
                  <a:cs typeface="+mn-cs"/>
                </a:defRPr>
              </a:pPr>
              <a:endParaRPr lang="en-US"/>
            </a:p>
          </c:txPr>
          <c:dLblPos val="t"/>
          <c:showLegendKey val="0"/>
          <c:showVal val="0"/>
          <c:showCatName val="0"/>
          <c:showSerName val="0"/>
          <c:showPercent val="0"/>
          <c:showBubbleSize val="0"/>
          <c:extLst>
            <c:ext xmlns:c15="http://schemas.microsoft.com/office/drawing/2012/chart" uri="{CE6537A1-D6FC-4f65-9D91-7224C49458BB}">
              <c15:showDataLabelsRange val="1"/>
            </c:ext>
          </c:extLst>
        </c:dLbl>
      </c:pivotFmt>
      <c:pivotFmt>
        <c:idx val="9"/>
        <c:spPr>
          <a:solidFill>
            <a:schemeClr val="accent1"/>
          </a:solidFill>
          <a:ln w="28575" cap="rnd">
            <a:solidFill>
              <a:sysClr val="windowText" lastClr="00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0"/>
          <c:showCatName val="0"/>
          <c:showSerName val="0"/>
          <c:showPercent val="0"/>
          <c:showBubbleSize val="0"/>
          <c:extLst>
            <c:ext xmlns:c15="http://schemas.microsoft.com/office/drawing/2012/chart" uri="{CE6537A1-D6FC-4f65-9D91-7224C49458BB}">
              <c15:showDataLabelsRange val="1"/>
            </c:ext>
          </c:extLst>
        </c:dLbl>
      </c:pivotFmt>
      <c:pivotFmt>
        <c:idx val="10"/>
        <c:spPr>
          <a:solidFill>
            <a:schemeClr val="accent1"/>
          </a:solidFill>
          <a:ln w="28575" cap="rnd">
            <a:solidFill>
              <a:schemeClr val="accent4"/>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accent4"/>
                  </a:solidFill>
                  <a:latin typeface="+mn-lt"/>
                  <a:ea typeface="+mn-ea"/>
                  <a:cs typeface="+mn-cs"/>
                </a:defRPr>
              </a:pPr>
              <a:endParaRPr lang="en-US"/>
            </a:p>
          </c:txPr>
          <c:dLblPos val="t"/>
          <c:showLegendKey val="0"/>
          <c:showVal val="0"/>
          <c:showCatName val="0"/>
          <c:showSerName val="0"/>
          <c:showPercent val="0"/>
          <c:showBubbleSize val="0"/>
          <c:extLst>
            <c:ext xmlns:c15="http://schemas.microsoft.com/office/drawing/2012/chart" uri="{CE6537A1-D6FC-4f65-9D91-7224C49458BB}">
              <c15:showDataLabelsRange val="1"/>
            </c:ext>
          </c:extLst>
        </c:dLbl>
      </c:pivotFmt>
      <c:pivotFmt>
        <c:idx val="11"/>
        <c:spPr>
          <a:solidFill>
            <a:schemeClr val="accent1"/>
          </a:solidFill>
          <a:ln w="28575" cap="rnd">
            <a:solidFill>
              <a:schemeClr val="accent5">
                <a:lumMod val="75000"/>
              </a:schemeClr>
            </a:solidFill>
            <a:round/>
          </a:ln>
          <a:effectLst/>
        </c:spPr>
        <c:marker>
          <c:symbol val="none"/>
        </c:marker>
        <c:dLbl>
          <c:idx val="0"/>
          <c:tx>
            <c:rich>
              <a:bodyPr rot="0" spcFirstLastPara="1" vertOverflow="ellipsis" vert="horz" wrap="square" lIns="38100" tIns="19050" rIns="38100" bIns="19050" anchor="ctr" anchorCtr="1">
                <a:spAutoFit/>
              </a:bodyPr>
              <a:lstStyle/>
              <a:p>
                <a:pPr>
                  <a:defRPr sz="1100" b="0" i="0" u="none" strike="noStrike" kern="1200" baseline="0">
                    <a:solidFill>
                      <a:schemeClr val="accent5">
                        <a:lumMod val="75000"/>
                      </a:schemeClr>
                    </a:solidFill>
                    <a:latin typeface="+mn-lt"/>
                    <a:ea typeface="+mn-ea"/>
                    <a:cs typeface="+mn-cs"/>
                  </a:defRPr>
                </a:pPr>
                <a:fld id="{6C4181A2-D827-4D75-804D-FB607095F80C}" type="CELLRANGE">
                  <a:rPr lang="en-US"/>
                  <a:pPr>
                    <a:defRPr sz="1100" b="0" i="0" u="none" strike="noStrike" kern="1200" baseline="0">
                      <a:solidFill>
                        <a:schemeClr val="accent5">
                          <a:lumMod val="75000"/>
                        </a:schemeClr>
                      </a:solidFill>
                      <a:latin typeface="+mn-lt"/>
                      <a:ea typeface="+mn-ea"/>
                      <a:cs typeface="+mn-cs"/>
                    </a:defRPr>
                  </a:pPr>
                  <a:t>[CELLRANGE]</a:t>
                </a:fld>
                <a:endParaRPr lang="en-US"/>
              </a:p>
            </c:rich>
          </c:tx>
          <c:spPr>
            <a:noFill/>
            <a:ln>
              <a:noFill/>
            </a:ln>
            <a:effectLst/>
          </c:spPr>
          <c:txPr>
            <a:bodyPr rot="0" spcFirstLastPara="1" vertOverflow="ellipsis" vert="horz" wrap="square" lIns="38100" tIns="19050" rIns="38100" bIns="19050" anchor="ctr" anchorCtr="1">
              <a:spAutoFit/>
            </a:bodyPr>
            <a:lstStyle/>
            <a:p>
              <a:pPr>
                <a:defRPr sz="1100" b="0" i="0" u="none" strike="noStrike" kern="1200" baseline="0">
                  <a:solidFill>
                    <a:schemeClr val="accent5">
                      <a:lumMod val="75000"/>
                    </a:schemeClr>
                  </a:solidFill>
                  <a:latin typeface="+mn-lt"/>
                  <a:ea typeface="+mn-ea"/>
                  <a:cs typeface="+mn-cs"/>
                </a:defRPr>
              </a:pPr>
              <a:endParaRPr lang="en-US"/>
            </a:p>
          </c:txPr>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12"/>
        <c:spPr>
          <a:solidFill>
            <a:schemeClr val="accent1"/>
          </a:solidFill>
          <a:ln w="28575" cap="rnd">
            <a:solidFill>
              <a:schemeClr val="accent5">
                <a:lumMod val="75000"/>
              </a:schemeClr>
            </a:solidFill>
            <a:round/>
          </a:ln>
          <a:effectLst/>
        </c:spPr>
        <c:marker>
          <c:symbol val="none"/>
        </c:marker>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Lst>
        </c:dLbl>
      </c:pivotFmt>
      <c:pivotFmt>
        <c:idx val="13"/>
        <c:spPr>
          <a:solidFill>
            <a:schemeClr val="accent1"/>
          </a:solidFill>
          <a:ln w="28575" cap="rnd">
            <a:solidFill>
              <a:schemeClr val="accent5">
                <a:lumMod val="75000"/>
              </a:schemeClr>
            </a:solidFill>
            <a:round/>
          </a:ln>
          <a:effectLst/>
        </c:spPr>
        <c:marker>
          <c:symbol val="none"/>
        </c:marker>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Lst>
        </c:dLbl>
      </c:pivotFmt>
      <c:pivotFmt>
        <c:idx val="14"/>
        <c:spPr>
          <a:solidFill>
            <a:schemeClr val="accent1"/>
          </a:solidFill>
          <a:ln w="28575" cap="rnd">
            <a:solidFill>
              <a:schemeClr val="accent2"/>
            </a:solidFill>
            <a:round/>
          </a:ln>
          <a:effectLst/>
        </c:spPr>
        <c:marker>
          <c:symbol val="none"/>
        </c:marker>
        <c:dLbl>
          <c:idx val="0"/>
          <c:layout>
            <c:manualLayout>
              <c:x val="-0.10875906640702174"/>
              <c:y val="-6.199461287811471E-2"/>
            </c:manualLayout>
          </c:layout>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accent2"/>
                  </a:solidFill>
                  <a:latin typeface="+mn-lt"/>
                  <a:ea typeface="+mn-ea"/>
                  <a:cs typeface="+mn-cs"/>
                </a:defRPr>
              </a:pPr>
              <a:endParaRPr lang="en-US"/>
            </a:p>
          </c:txPr>
          <c:dLblPos val="r"/>
          <c:showLegendKey val="0"/>
          <c:showVal val="0"/>
          <c:showCatName val="0"/>
          <c:showSerName val="1"/>
          <c:showPercent val="0"/>
          <c:showBubbleSize val="0"/>
          <c:extLst>
            <c:ext xmlns:c15="http://schemas.microsoft.com/office/drawing/2012/chart" uri="{CE6537A1-D6FC-4f65-9D91-7224C49458BB}">
              <c15:showDataLabelsRange val="1"/>
            </c:ext>
          </c:extLst>
        </c:dLbl>
      </c:pivotFmt>
      <c:pivotFmt>
        <c:idx val="15"/>
        <c:spPr>
          <a:solidFill>
            <a:schemeClr val="accent1"/>
          </a:solidFill>
          <a:ln w="28575" cap="rnd">
            <a:solidFill>
              <a:schemeClr val="accent4"/>
            </a:solidFill>
            <a:round/>
          </a:ln>
          <a:effectLst/>
        </c:spPr>
        <c:marker>
          <c:symbol val="none"/>
        </c:marker>
        <c:dLbl>
          <c:idx val="0"/>
          <c:layout>
            <c:manualLayout>
              <c:x val="-0.10461476589619849"/>
              <c:y val="-0.21597536528406391"/>
            </c:manualLayout>
          </c:layout>
          <c:tx>
            <c:rich>
              <a:bodyPr rot="0" spcFirstLastPara="1" vertOverflow="ellipsis" vert="horz" wrap="square" lIns="38100" tIns="19050" rIns="38100" bIns="19050" anchor="ctr" anchorCtr="1">
                <a:spAutoFit/>
              </a:bodyPr>
              <a:lstStyle/>
              <a:p>
                <a:pPr>
                  <a:defRPr sz="1100" b="1" i="0" u="none" strike="noStrike" kern="1200" baseline="0">
                    <a:solidFill>
                      <a:schemeClr val="accent4"/>
                    </a:solidFill>
                    <a:latin typeface="+mn-lt"/>
                    <a:ea typeface="+mn-ea"/>
                    <a:cs typeface="+mn-cs"/>
                  </a:defRPr>
                </a:pPr>
                <a:fld id="{6DA2C858-183C-4A81-80B6-B701774F001D}" type="CELLRANGE">
                  <a:rPr lang="en-US"/>
                  <a:pPr>
                    <a:defRPr sz="1100" b="1" i="0" u="none" strike="noStrike" kern="1200" baseline="0">
                      <a:solidFill>
                        <a:schemeClr val="accent4"/>
                      </a:solidFill>
                      <a:latin typeface="+mn-lt"/>
                      <a:ea typeface="+mn-ea"/>
                      <a:cs typeface="+mn-cs"/>
                    </a:defRPr>
                  </a:pPr>
                  <a:t>[CELLRANGE]</a:t>
                </a:fld>
                <a:endParaRPr lang="en-US"/>
              </a:p>
            </c:rich>
          </c:tx>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accent4"/>
                  </a:solidFill>
                  <a:latin typeface="+mn-lt"/>
                  <a:ea typeface="+mn-ea"/>
                  <a:cs typeface="+mn-cs"/>
                </a:defRPr>
              </a:pPr>
              <a:endParaRPr lang="en-US"/>
            </a:p>
          </c:txPr>
          <c:dLblPos val="r"/>
          <c:showLegendKey val="0"/>
          <c:showVal val="0"/>
          <c:showCatName val="0"/>
          <c:showSerName val="0"/>
          <c:showPercent val="0"/>
          <c:showBubbleSize val="0"/>
          <c:extLst>
            <c:ext xmlns:c15="http://schemas.microsoft.com/office/drawing/2012/chart" uri="{CE6537A1-D6FC-4f65-9D91-7224C49458BB}">
              <c15:dlblFieldTable/>
              <c15:showDataLabelsRange val="1"/>
            </c:ext>
          </c:extLst>
        </c:dLbl>
      </c:pivotFmt>
      <c:pivotFmt>
        <c:idx val="16"/>
        <c:spPr>
          <a:solidFill>
            <a:schemeClr val="accent1"/>
          </a:solidFill>
          <a:ln w="28575" cap="rnd">
            <a:solidFill>
              <a:schemeClr val="accent2">
                <a:lumMod val="60000"/>
                <a:lumOff val="40000"/>
              </a:schemeClr>
            </a:solidFill>
            <a:round/>
          </a:ln>
          <a:effectLst/>
        </c:spPr>
        <c:marker>
          <c:symbol val="none"/>
        </c:marker>
        <c:dLbl>
          <c:idx val="0"/>
          <c:layout>
            <c:manualLayout>
              <c:x val="-0.10962817147856518"/>
              <c:y val="-0.16970260607187881"/>
            </c:manualLayout>
          </c:layout>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accent2">
                      <a:lumMod val="60000"/>
                      <a:lumOff val="40000"/>
                    </a:schemeClr>
                  </a:solidFill>
                  <a:latin typeface="+mn-lt"/>
                  <a:ea typeface="+mn-ea"/>
                  <a:cs typeface="+mn-cs"/>
                </a:defRPr>
              </a:pPr>
              <a:endParaRPr lang="en-US"/>
            </a:p>
          </c:txPr>
          <c:dLblPos val="r"/>
          <c:showLegendKey val="0"/>
          <c:showVal val="0"/>
          <c:showCatName val="0"/>
          <c:showSerName val="1"/>
          <c:showPercent val="0"/>
          <c:showBubbleSize val="0"/>
          <c:extLst>
            <c:ext xmlns:c15="http://schemas.microsoft.com/office/drawing/2012/chart" uri="{CE6537A1-D6FC-4f65-9D91-7224C49458BB}">
              <c15:showDataLabelsRange val="1"/>
            </c:ext>
          </c:extLst>
        </c:dLbl>
      </c:pivotFmt>
      <c:pivotFmt>
        <c:idx val="17"/>
        <c:spPr>
          <a:solidFill>
            <a:schemeClr val="accent1"/>
          </a:solidFill>
          <a:ln w="28575" cap="rnd">
            <a:solidFill>
              <a:schemeClr val="accent3"/>
            </a:solidFill>
            <a:round/>
          </a:ln>
          <a:effectLst/>
        </c:spPr>
        <c:marker>
          <c:symbol val="none"/>
        </c:marker>
        <c:dLbl>
          <c:idx val="0"/>
          <c:layout>
            <c:manualLayout>
              <c:x val="-0.11313182626365256"/>
              <c:y val="-0.13820626752364615"/>
            </c:manualLayout>
          </c:layout>
          <c:spPr>
            <a:noFill/>
            <a:ln>
              <a:noFill/>
            </a:ln>
            <a:effectLst/>
          </c:spPr>
          <c:txPr>
            <a:bodyPr rot="0" spcFirstLastPara="1" vertOverflow="ellipsis" vert="horz" wrap="square" lIns="38100" tIns="19050" rIns="38100" bIns="19050" anchor="ctr" anchorCtr="1">
              <a:noAutofit/>
            </a:bodyPr>
            <a:lstStyle/>
            <a:p>
              <a:pPr>
                <a:defRPr sz="1100" b="1" i="0" u="none" strike="noStrike" kern="1200" baseline="0">
                  <a:solidFill>
                    <a:schemeClr val="accent3"/>
                  </a:solidFill>
                  <a:latin typeface="+mn-lt"/>
                  <a:ea typeface="+mn-ea"/>
                  <a:cs typeface="+mn-cs"/>
                </a:defRPr>
              </a:pPr>
              <a:endParaRPr lang="en-US"/>
            </a:p>
          </c:txPr>
          <c:dLblPos val="r"/>
          <c:showLegendKey val="0"/>
          <c:showVal val="0"/>
          <c:showCatName val="0"/>
          <c:showSerName val="1"/>
          <c:showPercent val="0"/>
          <c:showBubbleSize val="0"/>
          <c:extLst>
            <c:ext xmlns:c15="http://schemas.microsoft.com/office/drawing/2012/chart" uri="{CE6537A1-D6FC-4f65-9D91-7224C49458BB}">
              <c15:layout>
                <c:manualLayout>
                  <c:w val="4.1675697795840037E-2"/>
                  <c:h val="5.594064521462376E-2"/>
                </c:manualLayout>
              </c15:layout>
              <c15:showDataLabelsRange val="1"/>
            </c:ext>
          </c:extLst>
        </c:dLbl>
      </c:pivotFmt>
      <c:pivotFmt>
        <c:idx val="18"/>
        <c:spPr>
          <a:solidFill>
            <a:schemeClr val="accent1"/>
          </a:solidFill>
          <a:ln w="28575" cap="rnd">
            <a:solidFill>
              <a:srgbClr val="FF0000"/>
            </a:solidFill>
            <a:round/>
          </a:ln>
          <a:effectLst/>
        </c:spPr>
        <c:marker>
          <c:symbol val="none"/>
        </c:marker>
        <c:dLbl>
          <c:idx val="0"/>
          <c:layout>
            <c:manualLayout>
              <c:x val="-0.10867383512544802"/>
              <c:y val="-9.2712229868904317E-2"/>
            </c:manualLayout>
          </c:layout>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rgbClr val="FF0000"/>
                  </a:solidFill>
                  <a:latin typeface="+mn-lt"/>
                  <a:ea typeface="+mn-ea"/>
                  <a:cs typeface="+mn-cs"/>
                </a:defRPr>
              </a:pPr>
              <a:endParaRPr lang="en-US"/>
            </a:p>
          </c:txPr>
          <c:dLblPos val="r"/>
          <c:showLegendKey val="0"/>
          <c:showVal val="0"/>
          <c:showCatName val="0"/>
          <c:showSerName val="1"/>
          <c:showPercent val="0"/>
          <c:showBubbleSize val="0"/>
          <c:extLst>
            <c:ext xmlns:c15="http://schemas.microsoft.com/office/drawing/2012/chart" uri="{CE6537A1-D6FC-4f65-9D91-7224C49458BB}">
              <c15:showDataLabelsRange val="1"/>
            </c:ext>
          </c:extLst>
        </c:dLbl>
      </c:pivotFmt>
      <c:pivotFmt>
        <c:idx val="19"/>
        <c:spPr>
          <a:solidFill>
            <a:schemeClr val="accent1"/>
          </a:solidFill>
          <a:ln w="28575" cap="rnd">
            <a:solidFill>
              <a:sysClr val="windowText" lastClr="000000"/>
            </a:solidFill>
            <a:round/>
          </a:ln>
          <a:effectLst/>
        </c:spPr>
        <c:marker>
          <c:symbol val="none"/>
        </c:marker>
        <c:dLbl>
          <c:idx val="0"/>
          <c:layout>
            <c:manualLayout>
              <c:x val="-0.11921146953405018"/>
              <c:y val="-1.924773182879699E-2"/>
            </c:manualLayout>
          </c:layout>
          <c:spPr>
            <a:noFill/>
            <a:ln>
              <a:noFill/>
            </a:ln>
            <a:effectLst/>
          </c:spPr>
          <c:txPr>
            <a:bodyPr rot="0" spcFirstLastPara="1" vertOverflow="ellipsis" vert="horz" wrap="square" lIns="38100" tIns="19050" rIns="38100" bIns="19050" anchor="ctr" anchorCtr="1">
              <a:noAutofit/>
            </a:bodyPr>
            <a:lstStyle/>
            <a:p>
              <a:pPr>
                <a:defRPr sz="1100" b="1" i="0" u="none" strike="noStrike" kern="1200" baseline="0">
                  <a:solidFill>
                    <a:sysClr val="windowText" lastClr="000000"/>
                  </a:solidFill>
                  <a:latin typeface="+mn-lt"/>
                  <a:ea typeface="+mn-ea"/>
                  <a:cs typeface="+mn-cs"/>
                </a:defRPr>
              </a:pPr>
              <a:endParaRPr lang="en-US"/>
            </a:p>
          </c:txPr>
          <c:dLblPos val="r"/>
          <c:showLegendKey val="0"/>
          <c:showVal val="0"/>
          <c:showCatName val="0"/>
          <c:showSerName val="1"/>
          <c:showPercent val="0"/>
          <c:showBubbleSize val="0"/>
          <c:extLst>
            <c:ext xmlns:c15="http://schemas.microsoft.com/office/drawing/2012/chart" uri="{CE6537A1-D6FC-4f65-9D91-7224C49458BB}">
              <c15:layout>
                <c:manualLayout>
                  <c:w val="5.0215053763440862E-2"/>
                  <c:h val="8.0437583097388396E-2"/>
                </c:manualLayout>
              </c15:layout>
              <c15:showDataLabelsRange val="1"/>
            </c:ext>
          </c:extLst>
        </c:dLbl>
      </c:pivotFmt>
      <c:pivotFmt>
        <c:idx val="20"/>
        <c:spPr>
          <a:solidFill>
            <a:schemeClr val="accent1"/>
          </a:solidFill>
          <a:ln w="28575" cap="rnd">
            <a:solidFill>
              <a:schemeClr val="accent4"/>
            </a:solidFill>
            <a:round/>
          </a:ln>
          <a:effectLst/>
        </c:spPr>
        <c:marker>
          <c:symbol val="none"/>
        </c:marker>
        <c:dLbl>
          <c:idx val="0"/>
          <c:tx>
            <c:rich>
              <a:bodyPr rot="0" spcFirstLastPara="1" vertOverflow="ellipsis" vert="horz" wrap="square" lIns="38100" tIns="19050" rIns="38100" bIns="19050" anchor="ctr" anchorCtr="1">
                <a:spAutoFit/>
              </a:bodyPr>
              <a:lstStyle/>
              <a:p>
                <a:pPr>
                  <a:defRPr sz="1100" b="1" i="0" u="none" strike="noStrike" kern="1200" baseline="0">
                    <a:solidFill>
                      <a:schemeClr val="accent4"/>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accent4"/>
                  </a:solidFill>
                  <a:latin typeface="+mn-lt"/>
                  <a:ea typeface="+mn-ea"/>
                  <a:cs typeface="+mn-cs"/>
                </a:defRPr>
              </a:pPr>
              <a:endParaRPr lang="en-US"/>
            </a:p>
          </c:txPr>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Lst>
        </c:dLbl>
      </c:pivotFmt>
      <c:pivotFmt>
        <c:idx val="21"/>
        <c:spPr>
          <a:solidFill>
            <a:schemeClr val="accent1"/>
          </a:solidFill>
          <a:ln w="28575" cap="rnd">
            <a:solidFill>
              <a:schemeClr val="accent4"/>
            </a:solidFill>
            <a:round/>
          </a:ln>
          <a:effectLst/>
        </c:spPr>
        <c:marker>
          <c:symbol val="none"/>
        </c:marker>
        <c:dLbl>
          <c:idx val="0"/>
          <c:tx>
            <c:rich>
              <a:bodyPr rot="0" spcFirstLastPara="1" vertOverflow="ellipsis" vert="horz" wrap="square" lIns="38100" tIns="19050" rIns="38100" bIns="19050" anchor="ctr" anchorCtr="1">
                <a:spAutoFit/>
              </a:bodyPr>
              <a:lstStyle/>
              <a:p>
                <a:pPr>
                  <a:defRPr sz="1100" b="1" i="0" u="none" strike="noStrike" kern="1200" baseline="0">
                    <a:solidFill>
                      <a:schemeClr val="accent4"/>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accent4"/>
                  </a:solidFill>
                  <a:latin typeface="+mn-lt"/>
                  <a:ea typeface="+mn-ea"/>
                  <a:cs typeface="+mn-cs"/>
                </a:defRPr>
              </a:pPr>
              <a:endParaRPr lang="en-US"/>
            </a:p>
          </c:txPr>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Lst>
        </c:dLbl>
      </c:pivotFmt>
      <c:pivotFmt>
        <c:idx val="22"/>
        <c:spPr>
          <a:solidFill>
            <a:schemeClr val="accent1"/>
          </a:solidFill>
          <a:ln w="28575" cap="rnd">
            <a:solidFill>
              <a:schemeClr val="accent4"/>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accent4"/>
                  </a:solidFill>
                  <a:latin typeface="+mn-lt"/>
                  <a:ea typeface="+mn-ea"/>
                  <a:cs typeface="+mn-cs"/>
                </a:defRPr>
              </a:pPr>
              <a:endParaRPr lang="en-US"/>
            </a:p>
          </c:txPr>
          <c:dLblPos val="t"/>
          <c:showLegendKey val="0"/>
          <c:showVal val="0"/>
          <c:showCatName val="0"/>
          <c:showSerName val="0"/>
          <c:showPercent val="0"/>
          <c:showBubbleSize val="0"/>
          <c:extLst>
            <c:ext xmlns:c15="http://schemas.microsoft.com/office/drawing/2012/chart" uri="{CE6537A1-D6FC-4f65-9D91-7224C49458BB}">
              <c15:showDataLabelsRange val="1"/>
            </c:ext>
          </c:extLst>
        </c:dLbl>
      </c:pivotFmt>
      <c:pivotFmt>
        <c:idx val="23"/>
        <c:spPr>
          <a:solidFill>
            <a:schemeClr val="accent1"/>
          </a:solidFill>
          <a:ln w="28575" cap="rnd">
            <a:solidFill>
              <a:schemeClr val="accent4"/>
            </a:solidFill>
            <a:round/>
          </a:ln>
          <a:effectLst/>
        </c:spPr>
        <c:marker>
          <c:symbol val="none"/>
        </c:marker>
        <c:dLbl>
          <c:idx val="0"/>
          <c:layout>
            <c:manualLayout>
              <c:x val="-0.10461476589619849"/>
              <c:y val="-0.21597536528406391"/>
            </c:manualLayout>
          </c:layout>
          <c:tx>
            <c:rich>
              <a:bodyPr rot="0" spcFirstLastPara="1" vertOverflow="ellipsis" vert="horz" wrap="square" lIns="38100" tIns="19050" rIns="38100" bIns="19050" anchor="ctr" anchorCtr="1">
                <a:spAutoFit/>
              </a:bodyPr>
              <a:lstStyle/>
              <a:p>
                <a:pPr>
                  <a:defRPr sz="1100" b="1" i="0" u="none" strike="noStrike" kern="1200" baseline="0">
                    <a:solidFill>
                      <a:schemeClr val="accent4"/>
                    </a:solidFill>
                    <a:latin typeface="+mn-lt"/>
                    <a:ea typeface="+mn-ea"/>
                    <a:cs typeface="+mn-cs"/>
                  </a:defRPr>
                </a:pPr>
                <a:fld id="{345297FE-814D-47D7-9DA1-0C69E7C7CEDB}" type="CELLRANGE">
                  <a:rPr lang="en-US"/>
                  <a:pPr>
                    <a:defRPr sz="1100" b="1" i="0" u="none" strike="noStrike" kern="1200" baseline="0">
                      <a:solidFill>
                        <a:schemeClr val="accent4"/>
                      </a:solidFill>
                      <a:latin typeface="+mn-lt"/>
                      <a:ea typeface="+mn-ea"/>
                      <a:cs typeface="+mn-cs"/>
                    </a:defRPr>
                  </a:pPr>
                  <a:t>[CELLRANGE]</a:t>
                </a:fld>
                <a:endParaRPr lang="en-US"/>
              </a:p>
            </c:rich>
          </c:tx>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accent4"/>
                  </a:solidFill>
                  <a:latin typeface="+mn-lt"/>
                  <a:ea typeface="+mn-ea"/>
                  <a:cs typeface="+mn-cs"/>
                </a:defRPr>
              </a:pPr>
              <a:endParaRPr lang="en-US"/>
            </a:p>
          </c:txPr>
          <c:dLblPos val="r"/>
          <c:showLegendKey val="0"/>
          <c:showVal val="0"/>
          <c:showCatName val="0"/>
          <c:showSerName val="0"/>
          <c:showPercent val="0"/>
          <c:showBubbleSize val="0"/>
          <c:extLst>
            <c:ext xmlns:c15="http://schemas.microsoft.com/office/drawing/2012/chart" uri="{CE6537A1-D6FC-4f65-9D91-7224C49458BB}">
              <c15:dlblFieldTable/>
              <c15:showDataLabelsRange val="1"/>
            </c:ext>
          </c:extLst>
        </c:dLbl>
      </c:pivotFmt>
      <c:pivotFmt>
        <c:idx val="24"/>
        <c:spPr>
          <a:solidFill>
            <a:schemeClr val="accent1"/>
          </a:solidFill>
          <a:ln w="28575" cap="rnd">
            <a:solidFill>
              <a:schemeClr val="accent2">
                <a:lumMod val="60000"/>
                <a:lumOff val="4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accent2">
                      <a:lumMod val="60000"/>
                      <a:lumOff val="40000"/>
                    </a:schemeClr>
                  </a:solidFill>
                  <a:latin typeface="+mn-lt"/>
                  <a:ea typeface="+mn-ea"/>
                  <a:cs typeface="+mn-cs"/>
                </a:defRPr>
              </a:pPr>
              <a:endParaRPr lang="en-US"/>
            </a:p>
          </c:txPr>
          <c:dLblPos val="t"/>
          <c:showLegendKey val="0"/>
          <c:showVal val="0"/>
          <c:showCatName val="0"/>
          <c:showSerName val="0"/>
          <c:showPercent val="0"/>
          <c:showBubbleSize val="0"/>
          <c:extLst>
            <c:ext xmlns:c15="http://schemas.microsoft.com/office/drawing/2012/chart" uri="{CE6537A1-D6FC-4f65-9D91-7224C49458BB}">
              <c15:showDataLabelsRange val="1"/>
            </c:ext>
          </c:extLst>
        </c:dLbl>
      </c:pivotFmt>
      <c:pivotFmt>
        <c:idx val="25"/>
        <c:spPr>
          <a:solidFill>
            <a:schemeClr val="accent1"/>
          </a:solidFill>
          <a:ln w="28575" cap="rnd">
            <a:solidFill>
              <a:schemeClr val="accent2">
                <a:lumMod val="60000"/>
                <a:lumOff val="40000"/>
              </a:schemeClr>
            </a:solidFill>
            <a:round/>
          </a:ln>
          <a:effectLst/>
        </c:spPr>
        <c:marker>
          <c:symbol val="none"/>
        </c:marker>
        <c:dLbl>
          <c:idx val="0"/>
          <c:layout>
            <c:manualLayout>
              <c:x val="-0.10962817147856518"/>
              <c:y val="-0.16970260607187881"/>
            </c:manualLayout>
          </c:layout>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accent2">
                      <a:lumMod val="60000"/>
                      <a:lumOff val="40000"/>
                    </a:schemeClr>
                  </a:solidFill>
                  <a:latin typeface="+mn-lt"/>
                  <a:ea typeface="+mn-ea"/>
                  <a:cs typeface="+mn-cs"/>
                </a:defRPr>
              </a:pPr>
              <a:endParaRPr lang="en-US"/>
            </a:p>
          </c:txPr>
          <c:dLblPos val="r"/>
          <c:showLegendKey val="0"/>
          <c:showVal val="0"/>
          <c:showCatName val="0"/>
          <c:showSerName val="1"/>
          <c:showPercent val="0"/>
          <c:showBubbleSize val="0"/>
          <c:extLst>
            <c:ext xmlns:c15="http://schemas.microsoft.com/office/drawing/2012/chart" uri="{CE6537A1-D6FC-4f65-9D91-7224C49458BB}">
              <c15:showDataLabelsRange val="1"/>
            </c:ext>
          </c:extLst>
        </c:dLbl>
      </c:pivotFmt>
      <c:pivotFmt>
        <c:idx val="26"/>
        <c:spPr>
          <a:solidFill>
            <a:schemeClr val="accent1"/>
          </a:solidFill>
          <a:ln w="28575" cap="rnd">
            <a:solidFill>
              <a:schemeClr val="accent2"/>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0"/>
          <c:showCatName val="0"/>
          <c:showSerName val="0"/>
          <c:showPercent val="0"/>
          <c:showBubbleSize val="0"/>
          <c:extLst>
            <c:ext xmlns:c15="http://schemas.microsoft.com/office/drawing/2012/chart" uri="{CE6537A1-D6FC-4f65-9D91-7224C49458BB}">
              <c15:showDataLabelsRange val="1"/>
            </c:ext>
          </c:extLst>
        </c:dLbl>
      </c:pivotFmt>
      <c:pivotFmt>
        <c:idx val="27"/>
        <c:spPr>
          <a:solidFill>
            <a:schemeClr val="accent1"/>
          </a:solidFill>
          <a:ln w="28575" cap="rnd">
            <a:solidFill>
              <a:schemeClr val="accent2"/>
            </a:solidFill>
            <a:round/>
          </a:ln>
          <a:effectLst/>
        </c:spPr>
        <c:marker>
          <c:symbol val="none"/>
        </c:marker>
        <c:dLbl>
          <c:idx val="0"/>
          <c:layout>
            <c:manualLayout>
              <c:x val="-0.10875906640702174"/>
              <c:y val="-6.199461287811471E-2"/>
            </c:manualLayout>
          </c:layout>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accent2"/>
                  </a:solidFill>
                  <a:latin typeface="+mn-lt"/>
                  <a:ea typeface="+mn-ea"/>
                  <a:cs typeface="+mn-cs"/>
                </a:defRPr>
              </a:pPr>
              <a:endParaRPr lang="en-US"/>
            </a:p>
          </c:txPr>
          <c:dLblPos val="r"/>
          <c:showLegendKey val="0"/>
          <c:showVal val="0"/>
          <c:showCatName val="0"/>
          <c:showSerName val="1"/>
          <c:showPercent val="0"/>
          <c:showBubbleSize val="0"/>
          <c:extLst>
            <c:ext xmlns:c15="http://schemas.microsoft.com/office/drawing/2012/chart" uri="{CE6537A1-D6FC-4f65-9D91-7224C49458BB}">
              <c15:showDataLabelsRange val="1"/>
            </c:ext>
          </c:extLst>
        </c:dLbl>
      </c:pivotFmt>
      <c:pivotFmt>
        <c:idx val="28"/>
        <c:spPr>
          <a:solidFill>
            <a:schemeClr val="accent1"/>
          </a:solidFill>
          <a:ln w="28575" cap="rnd">
            <a:solidFill>
              <a:schemeClr val="accent5">
                <a:lumMod val="75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0"/>
          <c:showCatName val="0"/>
          <c:showSerName val="0"/>
          <c:showPercent val="0"/>
          <c:showBubbleSize val="0"/>
          <c:extLst>
            <c:ext xmlns:c15="http://schemas.microsoft.com/office/drawing/2012/chart" uri="{CE6537A1-D6FC-4f65-9D91-7224C49458BB}">
              <c15:showDataLabelsRange val="1"/>
            </c:ext>
          </c:extLst>
        </c:dLbl>
      </c:pivotFmt>
      <c:pivotFmt>
        <c:idx val="29"/>
        <c:spPr>
          <a:solidFill>
            <a:schemeClr val="accent1"/>
          </a:solidFill>
          <a:ln w="28575" cap="rnd">
            <a:solidFill>
              <a:schemeClr val="accent5">
                <a:lumMod val="75000"/>
              </a:schemeClr>
            </a:solidFill>
            <a:round/>
          </a:ln>
          <a:effectLst/>
        </c:spPr>
        <c:marker>
          <c:symbol val="none"/>
        </c:marker>
        <c:dLbl>
          <c:idx val="0"/>
          <c:tx>
            <c:rich>
              <a:bodyPr rot="0" spcFirstLastPara="1" vertOverflow="ellipsis" vert="horz" wrap="square" lIns="38100" tIns="19050" rIns="38100" bIns="19050" anchor="ctr" anchorCtr="1">
                <a:spAutoFit/>
              </a:bodyPr>
              <a:lstStyle/>
              <a:p>
                <a:pPr>
                  <a:defRPr sz="1100" b="0" i="0" u="none" strike="noStrike" kern="1200" baseline="0">
                    <a:solidFill>
                      <a:schemeClr val="accent5">
                        <a:lumMod val="75000"/>
                      </a:schemeClr>
                    </a:solidFill>
                    <a:latin typeface="+mn-lt"/>
                    <a:ea typeface="+mn-ea"/>
                    <a:cs typeface="+mn-cs"/>
                  </a:defRPr>
                </a:pPr>
                <a:fld id="{8BC1F9FF-E785-487F-B8BA-B663FAB16820}" type="CELLRANGE">
                  <a:rPr lang="en-US"/>
                  <a:pPr>
                    <a:defRPr sz="1100" b="0" i="0" u="none" strike="noStrike" kern="1200" baseline="0">
                      <a:solidFill>
                        <a:schemeClr val="accent5">
                          <a:lumMod val="75000"/>
                        </a:schemeClr>
                      </a:solidFill>
                      <a:latin typeface="+mn-lt"/>
                      <a:ea typeface="+mn-ea"/>
                      <a:cs typeface="+mn-cs"/>
                    </a:defRPr>
                  </a:pPr>
                  <a:t>[CELLRANGE]</a:t>
                </a:fld>
                <a:endParaRPr lang="en-US"/>
              </a:p>
            </c:rich>
          </c:tx>
          <c:spPr>
            <a:noFill/>
            <a:ln>
              <a:noFill/>
            </a:ln>
            <a:effectLst/>
          </c:spPr>
          <c:txPr>
            <a:bodyPr rot="0" spcFirstLastPara="1" vertOverflow="ellipsis" vert="horz" wrap="square" lIns="38100" tIns="19050" rIns="38100" bIns="19050" anchor="ctr" anchorCtr="1">
              <a:spAutoFit/>
            </a:bodyPr>
            <a:lstStyle/>
            <a:p>
              <a:pPr>
                <a:defRPr sz="1100" b="0" i="0" u="none" strike="noStrike" kern="1200" baseline="0">
                  <a:solidFill>
                    <a:schemeClr val="accent5">
                      <a:lumMod val="75000"/>
                    </a:schemeClr>
                  </a:solidFill>
                  <a:latin typeface="+mn-lt"/>
                  <a:ea typeface="+mn-ea"/>
                  <a:cs typeface="+mn-cs"/>
                </a:defRPr>
              </a:pPr>
              <a:endParaRPr lang="en-US"/>
            </a:p>
          </c:txPr>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30"/>
        <c:spPr>
          <a:solidFill>
            <a:schemeClr val="accent1"/>
          </a:solidFill>
          <a:ln w="28575" cap="rnd">
            <a:solidFill>
              <a:schemeClr val="accent3"/>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accent3"/>
                  </a:solidFill>
                  <a:latin typeface="+mn-lt"/>
                  <a:ea typeface="+mn-ea"/>
                  <a:cs typeface="+mn-cs"/>
                </a:defRPr>
              </a:pPr>
              <a:endParaRPr lang="en-US"/>
            </a:p>
          </c:txPr>
          <c:dLblPos val="t"/>
          <c:showLegendKey val="0"/>
          <c:showVal val="0"/>
          <c:showCatName val="0"/>
          <c:showSerName val="0"/>
          <c:showPercent val="0"/>
          <c:showBubbleSize val="0"/>
          <c:extLst>
            <c:ext xmlns:c15="http://schemas.microsoft.com/office/drawing/2012/chart" uri="{CE6537A1-D6FC-4f65-9D91-7224C49458BB}">
              <c15:showDataLabelsRange val="1"/>
            </c:ext>
          </c:extLst>
        </c:dLbl>
      </c:pivotFmt>
      <c:pivotFmt>
        <c:idx val="31"/>
        <c:spPr>
          <a:solidFill>
            <a:schemeClr val="accent1"/>
          </a:solidFill>
          <a:ln w="28575" cap="rnd">
            <a:solidFill>
              <a:schemeClr val="accent3"/>
            </a:solidFill>
            <a:round/>
          </a:ln>
          <a:effectLst/>
        </c:spPr>
        <c:marker>
          <c:symbol val="none"/>
        </c:marker>
        <c:dLbl>
          <c:idx val="0"/>
          <c:layout>
            <c:manualLayout>
              <c:x val="-0.11313182626365256"/>
              <c:y val="-0.13820626752364615"/>
            </c:manualLayout>
          </c:layout>
          <c:spPr>
            <a:noFill/>
            <a:ln>
              <a:noFill/>
            </a:ln>
            <a:effectLst/>
          </c:spPr>
          <c:txPr>
            <a:bodyPr rot="0" spcFirstLastPara="1" vertOverflow="ellipsis" vert="horz" wrap="square" lIns="38100" tIns="19050" rIns="38100" bIns="19050" anchor="ctr" anchorCtr="1">
              <a:noAutofit/>
            </a:bodyPr>
            <a:lstStyle/>
            <a:p>
              <a:pPr>
                <a:defRPr sz="1100" b="1" i="0" u="none" strike="noStrike" kern="1200" baseline="0">
                  <a:solidFill>
                    <a:schemeClr val="accent3"/>
                  </a:solidFill>
                  <a:latin typeface="+mn-lt"/>
                  <a:ea typeface="+mn-ea"/>
                  <a:cs typeface="+mn-cs"/>
                </a:defRPr>
              </a:pPr>
              <a:endParaRPr lang="en-US"/>
            </a:p>
          </c:txPr>
          <c:dLblPos val="r"/>
          <c:showLegendKey val="0"/>
          <c:showVal val="0"/>
          <c:showCatName val="0"/>
          <c:showSerName val="1"/>
          <c:showPercent val="0"/>
          <c:showBubbleSize val="0"/>
          <c:extLst>
            <c:ext xmlns:c15="http://schemas.microsoft.com/office/drawing/2012/chart" uri="{CE6537A1-D6FC-4f65-9D91-7224C49458BB}">
              <c15:layout>
                <c:manualLayout>
                  <c:w val="4.1675697795840037E-2"/>
                  <c:h val="5.594064521462376E-2"/>
                </c:manualLayout>
              </c15:layout>
              <c15:showDataLabelsRange val="1"/>
            </c:ext>
          </c:extLst>
        </c:dLbl>
      </c:pivotFmt>
      <c:pivotFmt>
        <c:idx val="3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rgbClr val="FF0000"/>
                  </a:solidFill>
                  <a:latin typeface="+mn-lt"/>
                  <a:ea typeface="+mn-ea"/>
                  <a:cs typeface="+mn-cs"/>
                </a:defRPr>
              </a:pPr>
              <a:endParaRPr lang="en-US"/>
            </a:p>
          </c:txPr>
          <c:dLblPos val="t"/>
          <c:showLegendKey val="0"/>
          <c:showVal val="0"/>
          <c:showCatName val="0"/>
          <c:showSerName val="0"/>
          <c:showPercent val="0"/>
          <c:showBubbleSize val="0"/>
          <c:extLst>
            <c:ext xmlns:c15="http://schemas.microsoft.com/office/drawing/2012/chart" uri="{CE6537A1-D6FC-4f65-9D91-7224C49458BB}">
              <c15:showDataLabelsRange val="1"/>
            </c:ext>
          </c:extLst>
        </c:dLbl>
      </c:pivotFmt>
      <c:pivotFmt>
        <c:idx val="33"/>
        <c:spPr>
          <a:solidFill>
            <a:schemeClr val="accent1"/>
          </a:solidFill>
          <a:ln w="28575" cap="rnd">
            <a:solidFill>
              <a:srgbClr val="FF0000"/>
            </a:solidFill>
            <a:round/>
          </a:ln>
          <a:effectLst/>
        </c:spPr>
        <c:marker>
          <c:symbol val="none"/>
        </c:marker>
        <c:dLbl>
          <c:idx val="0"/>
          <c:layout>
            <c:manualLayout>
              <c:x val="-0.10867383512544802"/>
              <c:y val="-9.2712229868904317E-2"/>
            </c:manualLayout>
          </c:layout>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rgbClr val="FF0000"/>
                  </a:solidFill>
                  <a:latin typeface="+mn-lt"/>
                  <a:ea typeface="+mn-ea"/>
                  <a:cs typeface="+mn-cs"/>
                </a:defRPr>
              </a:pPr>
              <a:endParaRPr lang="en-US"/>
            </a:p>
          </c:txPr>
          <c:dLblPos val="r"/>
          <c:showLegendKey val="0"/>
          <c:showVal val="0"/>
          <c:showCatName val="0"/>
          <c:showSerName val="1"/>
          <c:showPercent val="0"/>
          <c:showBubbleSize val="0"/>
          <c:extLst>
            <c:ext xmlns:c15="http://schemas.microsoft.com/office/drawing/2012/chart" uri="{CE6537A1-D6FC-4f65-9D91-7224C49458BB}">
              <c15:showDataLabelsRange val="1"/>
            </c:ext>
          </c:extLst>
        </c:dLbl>
      </c:pivotFmt>
      <c:pivotFmt>
        <c:idx val="34"/>
        <c:spPr>
          <a:solidFill>
            <a:schemeClr val="accent1"/>
          </a:solidFill>
          <a:ln w="28575" cap="rnd">
            <a:solidFill>
              <a:sysClr val="windowText" lastClr="00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0"/>
          <c:showCatName val="0"/>
          <c:showSerName val="0"/>
          <c:showPercent val="0"/>
          <c:showBubbleSize val="0"/>
          <c:extLst>
            <c:ext xmlns:c15="http://schemas.microsoft.com/office/drawing/2012/chart" uri="{CE6537A1-D6FC-4f65-9D91-7224C49458BB}">
              <c15:showDataLabelsRange val="1"/>
            </c:ext>
          </c:extLst>
        </c:dLbl>
      </c:pivotFmt>
      <c:pivotFmt>
        <c:idx val="35"/>
        <c:spPr>
          <a:solidFill>
            <a:schemeClr val="accent1"/>
          </a:solidFill>
          <a:ln w="28575" cap="rnd">
            <a:solidFill>
              <a:sysClr val="windowText" lastClr="000000"/>
            </a:solidFill>
            <a:round/>
          </a:ln>
          <a:effectLst/>
        </c:spPr>
        <c:marker>
          <c:symbol val="none"/>
        </c:marker>
        <c:dLbl>
          <c:idx val="0"/>
          <c:layout>
            <c:manualLayout>
              <c:x val="-0.11921146953405018"/>
              <c:y val="-1.924773182879699E-2"/>
            </c:manualLayout>
          </c:layout>
          <c:spPr>
            <a:noFill/>
            <a:ln>
              <a:noFill/>
            </a:ln>
            <a:effectLst/>
          </c:spPr>
          <c:txPr>
            <a:bodyPr rot="0" spcFirstLastPara="1" vertOverflow="ellipsis" vert="horz" wrap="square" lIns="38100" tIns="19050" rIns="38100" bIns="19050" anchor="ctr" anchorCtr="1">
              <a:noAutofit/>
            </a:bodyPr>
            <a:lstStyle/>
            <a:p>
              <a:pPr>
                <a:defRPr sz="1100" b="1" i="0" u="none" strike="noStrike" kern="1200" baseline="0">
                  <a:solidFill>
                    <a:sysClr val="windowText" lastClr="000000"/>
                  </a:solidFill>
                  <a:latin typeface="+mn-lt"/>
                  <a:ea typeface="+mn-ea"/>
                  <a:cs typeface="+mn-cs"/>
                </a:defRPr>
              </a:pPr>
              <a:endParaRPr lang="en-US"/>
            </a:p>
          </c:txPr>
          <c:dLblPos val="r"/>
          <c:showLegendKey val="0"/>
          <c:showVal val="0"/>
          <c:showCatName val="0"/>
          <c:showSerName val="1"/>
          <c:showPercent val="0"/>
          <c:showBubbleSize val="0"/>
          <c:extLst>
            <c:ext xmlns:c15="http://schemas.microsoft.com/office/drawing/2012/chart" uri="{CE6537A1-D6FC-4f65-9D91-7224C49458BB}">
              <c15:layout>
                <c:manualLayout>
                  <c:w val="5.0215053763440862E-2"/>
                  <c:h val="8.0437583097388396E-2"/>
                </c:manualLayout>
              </c15:layout>
              <c15:showDataLabelsRange val="1"/>
            </c:ext>
          </c:extLst>
        </c:dLbl>
      </c:pivotFmt>
      <c:pivotFmt>
        <c:idx val="36"/>
        <c:spPr>
          <a:solidFill>
            <a:schemeClr val="accent1"/>
          </a:solidFill>
          <a:ln w="28575" cap="rnd">
            <a:solidFill>
              <a:schemeClr val="accent4"/>
            </a:solidFill>
            <a:round/>
          </a:ln>
          <a:effectLst/>
        </c:spPr>
        <c:marker>
          <c:symbol val="none"/>
        </c:marker>
        <c:dLbl>
          <c:idx val="0"/>
          <c:tx>
            <c:rich>
              <a:bodyPr rot="0" spcFirstLastPara="1" vertOverflow="ellipsis" vert="horz" wrap="square" lIns="38100" tIns="19050" rIns="38100" bIns="19050" anchor="ctr" anchorCtr="1">
                <a:spAutoFit/>
              </a:bodyPr>
              <a:lstStyle/>
              <a:p>
                <a:pPr>
                  <a:defRPr sz="1100" b="1" i="0" u="none" strike="noStrike" kern="1200" baseline="0">
                    <a:solidFill>
                      <a:schemeClr val="accent4"/>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accent4"/>
                  </a:solidFill>
                  <a:latin typeface="+mn-lt"/>
                  <a:ea typeface="+mn-ea"/>
                  <a:cs typeface="+mn-cs"/>
                </a:defRPr>
              </a:pPr>
              <a:endParaRPr lang="en-US"/>
            </a:p>
          </c:txPr>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Lst>
        </c:dLbl>
      </c:pivotFmt>
      <c:pivotFmt>
        <c:idx val="37"/>
        <c:spPr>
          <a:solidFill>
            <a:schemeClr val="accent1"/>
          </a:solidFill>
          <a:ln w="28575" cap="rnd">
            <a:solidFill>
              <a:schemeClr val="accent4"/>
            </a:solidFill>
            <a:round/>
          </a:ln>
          <a:effectLst/>
        </c:spPr>
        <c:marker>
          <c:symbol val="none"/>
        </c:marker>
        <c:dLbl>
          <c:idx val="0"/>
          <c:tx>
            <c:rich>
              <a:bodyPr rot="0" spcFirstLastPara="1" vertOverflow="ellipsis" vert="horz" wrap="square" lIns="38100" tIns="19050" rIns="38100" bIns="19050" anchor="ctr" anchorCtr="1">
                <a:spAutoFit/>
              </a:bodyPr>
              <a:lstStyle/>
              <a:p>
                <a:pPr>
                  <a:defRPr sz="1100" b="1" i="0" u="none" strike="noStrike" kern="1200" baseline="0">
                    <a:solidFill>
                      <a:schemeClr val="accent4"/>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accent4"/>
                  </a:solidFill>
                  <a:latin typeface="+mn-lt"/>
                  <a:ea typeface="+mn-ea"/>
                  <a:cs typeface="+mn-cs"/>
                </a:defRPr>
              </a:pPr>
              <a:endParaRPr lang="en-US"/>
            </a:p>
          </c:txPr>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Lst>
        </c:dLbl>
      </c:pivotFmt>
      <c:pivotFmt>
        <c:idx val="38"/>
        <c:spPr>
          <a:solidFill>
            <a:schemeClr val="accent1"/>
          </a:solidFill>
          <a:ln w="28575" cap="rnd">
            <a:solidFill>
              <a:schemeClr val="accent5">
                <a:lumMod val="75000"/>
              </a:schemeClr>
            </a:solidFill>
            <a:round/>
          </a:ln>
          <a:effectLst/>
        </c:spPr>
        <c:marker>
          <c:symbol val="none"/>
        </c:marker>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Lst>
        </c:dLbl>
      </c:pivotFmt>
      <c:pivotFmt>
        <c:idx val="39"/>
        <c:spPr>
          <a:solidFill>
            <a:schemeClr val="accent1"/>
          </a:solidFill>
          <a:ln w="28575" cap="rnd">
            <a:solidFill>
              <a:schemeClr val="accent5">
                <a:lumMod val="75000"/>
              </a:schemeClr>
            </a:solidFill>
            <a:round/>
          </a:ln>
          <a:effectLst/>
        </c:spPr>
        <c:marker>
          <c:symbol val="none"/>
        </c:marker>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Lst>
        </c:dLbl>
      </c:pivotFmt>
      <c:pivotFmt>
        <c:idx val="40"/>
        <c:spPr>
          <a:ln w="28575" cap="rnd">
            <a:solidFill>
              <a:schemeClr val="accent4"/>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accent4"/>
                  </a:solidFill>
                  <a:latin typeface="+mn-lt"/>
                  <a:ea typeface="+mn-ea"/>
                  <a:cs typeface="+mn-cs"/>
                </a:defRPr>
              </a:pPr>
              <a:endParaRPr lang="en-US"/>
            </a:p>
          </c:txPr>
          <c:dLblPos val="t"/>
          <c:showLegendKey val="0"/>
          <c:showVal val="0"/>
          <c:showCatName val="0"/>
          <c:showSerName val="0"/>
          <c:showPercent val="0"/>
          <c:showBubbleSize val="0"/>
          <c:extLst>
            <c:ext xmlns:c15="http://schemas.microsoft.com/office/drawing/2012/chart" uri="{CE6537A1-D6FC-4f65-9D91-7224C49458BB}">
              <c15:showDataLabelsRange val="1"/>
            </c:ext>
          </c:extLst>
        </c:dLbl>
      </c:pivotFmt>
      <c:pivotFmt>
        <c:idx val="41"/>
        <c:spPr>
          <a:ln w="28575" cap="rnd">
            <a:solidFill>
              <a:schemeClr val="accent4"/>
            </a:solidFill>
            <a:round/>
          </a:ln>
          <a:effectLst/>
        </c:spPr>
        <c:marker>
          <c:symbol val="none"/>
        </c:marker>
        <c:dLbl>
          <c:idx val="0"/>
          <c:layout>
            <c:manualLayout>
              <c:x val="-0.11065711952169123"/>
              <c:y val="-0.21597518492006682"/>
            </c:manualLayout>
          </c:layout>
          <c:tx>
            <c:rich>
              <a:bodyPr rot="0" spcFirstLastPara="1" vertOverflow="ellipsis" vert="horz" wrap="square" lIns="38100" tIns="19050" rIns="38100" bIns="19050" anchor="ctr" anchorCtr="1">
                <a:spAutoFit/>
              </a:bodyPr>
              <a:lstStyle/>
              <a:p>
                <a:pPr>
                  <a:defRPr sz="1100" b="1" i="0" u="none" strike="noStrike" kern="1200" baseline="0">
                    <a:solidFill>
                      <a:schemeClr val="accent4"/>
                    </a:solidFill>
                    <a:latin typeface="+mn-lt"/>
                    <a:ea typeface="+mn-ea"/>
                    <a:cs typeface="+mn-cs"/>
                  </a:defRPr>
                </a:pPr>
                <a:fld id="{A9301E95-137E-407F-81F7-94BE92128FC2}" type="CELLRANGE">
                  <a:rPr lang="en-US"/>
                  <a:pPr>
                    <a:defRPr sz="1100" b="1">
                      <a:solidFill>
                        <a:schemeClr val="accent4"/>
                      </a:solidFill>
                    </a:defRPr>
                  </a:pPr>
                  <a:t>[CELLRANGE]</a:t>
                </a:fld>
                <a:endParaRPr lang="en-US"/>
              </a:p>
            </c:rich>
          </c:tx>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accent4"/>
                  </a:solidFill>
                  <a:latin typeface="+mn-lt"/>
                  <a:ea typeface="+mn-ea"/>
                  <a:cs typeface="+mn-cs"/>
                </a:defRPr>
              </a:pPr>
              <a:endParaRPr lang="en-US"/>
            </a:p>
          </c:txPr>
          <c:dLblPos val="r"/>
          <c:showLegendKey val="0"/>
          <c:showVal val="0"/>
          <c:showCatName val="0"/>
          <c:showSerName val="0"/>
          <c:showPercent val="0"/>
          <c:showBubbleSize val="0"/>
          <c:extLst>
            <c:ext xmlns:c15="http://schemas.microsoft.com/office/drawing/2012/chart" uri="{CE6537A1-D6FC-4f65-9D91-7224C49458BB}">
              <c15:dlblFieldTable/>
              <c15:showDataLabelsRange val="1"/>
            </c:ext>
          </c:extLst>
        </c:dLbl>
      </c:pivotFmt>
      <c:pivotFmt>
        <c:idx val="42"/>
        <c:spPr>
          <a:ln w="28575" cap="rnd">
            <a:solidFill>
              <a:schemeClr val="accent2">
                <a:lumMod val="60000"/>
                <a:lumOff val="4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accent2">
                      <a:lumMod val="60000"/>
                      <a:lumOff val="40000"/>
                    </a:schemeClr>
                  </a:solidFill>
                  <a:latin typeface="+mn-lt"/>
                  <a:ea typeface="+mn-ea"/>
                  <a:cs typeface="+mn-cs"/>
                </a:defRPr>
              </a:pPr>
              <a:endParaRPr lang="en-US"/>
            </a:p>
          </c:txPr>
          <c:dLblPos val="t"/>
          <c:showLegendKey val="0"/>
          <c:showVal val="0"/>
          <c:showCatName val="0"/>
          <c:showSerName val="0"/>
          <c:showPercent val="0"/>
          <c:showBubbleSize val="0"/>
          <c:extLst>
            <c:ext xmlns:c15="http://schemas.microsoft.com/office/drawing/2012/chart" uri="{CE6537A1-D6FC-4f65-9D91-7224C49458BB}"/>
          </c:extLst>
        </c:dLbl>
      </c:pivotFmt>
      <c:pivotFmt>
        <c:idx val="43"/>
        <c:spPr>
          <a:ln w="28575" cap="rnd">
            <a:solidFill>
              <a:schemeClr val="accent2">
                <a:lumMod val="60000"/>
                <a:lumOff val="40000"/>
              </a:schemeClr>
            </a:solidFill>
            <a:round/>
          </a:ln>
          <a:effectLst/>
        </c:spPr>
        <c:marker>
          <c:symbol val="none"/>
        </c:marker>
        <c:dLbl>
          <c:idx val="0"/>
          <c:layout>
            <c:manualLayout>
              <c:x val="-0.10962817147856518"/>
              <c:y val="-0.16970260607187881"/>
            </c:manualLayout>
          </c:layout>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accent2">
                      <a:lumMod val="60000"/>
                      <a:lumOff val="40000"/>
                    </a:schemeClr>
                  </a:solidFill>
                  <a:latin typeface="+mn-lt"/>
                  <a:ea typeface="+mn-ea"/>
                  <a:cs typeface="+mn-cs"/>
                </a:defRPr>
              </a:pPr>
              <a:endParaRPr lang="en-US"/>
            </a:p>
          </c:txPr>
          <c:dLblPos val="r"/>
          <c:showLegendKey val="0"/>
          <c:showVal val="0"/>
          <c:showCatName val="0"/>
          <c:showSerName val="1"/>
          <c:showPercent val="0"/>
          <c:showBubbleSize val="0"/>
          <c:extLst>
            <c:ext xmlns:c15="http://schemas.microsoft.com/office/drawing/2012/chart" uri="{CE6537A1-D6FC-4f65-9D91-7224C49458BB}"/>
          </c:extLst>
        </c:dLbl>
      </c:pivotFmt>
      <c:pivotFmt>
        <c:idx val="44"/>
        <c:spPr>
          <a:ln w="28575" cap="rnd">
            <a:solidFill>
              <a:schemeClr val="accent2"/>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0"/>
          <c:showCatName val="0"/>
          <c:showSerName val="0"/>
          <c:showPercent val="0"/>
          <c:showBubbleSize val="0"/>
          <c:extLst>
            <c:ext xmlns:c15="http://schemas.microsoft.com/office/drawing/2012/chart" uri="{CE6537A1-D6FC-4f65-9D91-7224C49458BB}"/>
          </c:extLst>
        </c:dLbl>
      </c:pivotFmt>
      <c:pivotFmt>
        <c:idx val="45"/>
        <c:spPr>
          <a:ln w="28575" cap="rnd">
            <a:solidFill>
              <a:schemeClr val="accent2"/>
            </a:solidFill>
            <a:round/>
          </a:ln>
          <a:effectLst/>
        </c:spPr>
        <c:marker>
          <c:symbol val="none"/>
        </c:marker>
        <c:dLbl>
          <c:idx val="0"/>
          <c:layout>
            <c:manualLayout>
              <c:x val="-0.10875906640702174"/>
              <c:y val="-6.199461287811471E-2"/>
            </c:manualLayout>
          </c:layout>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accent2"/>
                  </a:solidFill>
                  <a:latin typeface="+mn-lt"/>
                  <a:ea typeface="+mn-ea"/>
                  <a:cs typeface="+mn-cs"/>
                </a:defRPr>
              </a:pPr>
              <a:endParaRPr lang="en-US"/>
            </a:p>
          </c:txPr>
          <c:dLblPos val="r"/>
          <c:showLegendKey val="0"/>
          <c:showVal val="0"/>
          <c:showCatName val="0"/>
          <c:showSerName val="1"/>
          <c:showPercent val="0"/>
          <c:showBubbleSize val="0"/>
          <c:extLst>
            <c:ext xmlns:c15="http://schemas.microsoft.com/office/drawing/2012/chart" uri="{CE6537A1-D6FC-4f65-9D91-7224C49458BB}"/>
          </c:extLst>
        </c:dLbl>
      </c:pivotFmt>
      <c:pivotFmt>
        <c:idx val="46"/>
        <c:spPr>
          <a:ln w="28575" cap="rnd">
            <a:solidFill>
              <a:schemeClr val="accent5">
                <a:lumMod val="75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accent5">
                      <a:lumMod val="75000"/>
                    </a:schemeClr>
                  </a:solidFill>
                  <a:latin typeface="+mn-lt"/>
                  <a:ea typeface="+mn-ea"/>
                  <a:cs typeface="+mn-cs"/>
                </a:defRPr>
              </a:pPr>
              <a:endParaRPr lang="en-US"/>
            </a:p>
          </c:txPr>
          <c:dLblPos val="t"/>
          <c:showLegendKey val="0"/>
          <c:showVal val="0"/>
          <c:showCatName val="0"/>
          <c:showSerName val="0"/>
          <c:showPercent val="0"/>
          <c:showBubbleSize val="0"/>
          <c:extLst>
            <c:ext xmlns:c15="http://schemas.microsoft.com/office/drawing/2012/chart" uri="{CE6537A1-D6FC-4f65-9D91-7224C49458BB}"/>
          </c:extLst>
        </c:dLbl>
      </c:pivotFmt>
      <c:pivotFmt>
        <c:idx val="47"/>
        <c:spPr>
          <a:ln w="28575" cap="rnd">
            <a:solidFill>
              <a:schemeClr val="accent3"/>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accent3"/>
                  </a:solidFill>
                  <a:latin typeface="+mn-lt"/>
                  <a:ea typeface="+mn-ea"/>
                  <a:cs typeface="+mn-cs"/>
                </a:defRPr>
              </a:pPr>
              <a:endParaRPr lang="en-US"/>
            </a:p>
          </c:txPr>
          <c:dLblPos val="t"/>
          <c:showLegendKey val="0"/>
          <c:showVal val="0"/>
          <c:showCatName val="0"/>
          <c:showSerName val="0"/>
          <c:showPercent val="0"/>
          <c:showBubbleSize val="0"/>
          <c:extLst>
            <c:ext xmlns:c15="http://schemas.microsoft.com/office/drawing/2012/chart" uri="{CE6537A1-D6FC-4f65-9D91-7224C49458BB}"/>
          </c:extLst>
        </c:dLbl>
      </c:pivotFmt>
      <c:pivotFmt>
        <c:idx val="48"/>
        <c:spPr>
          <a:ln w="28575" cap="rnd">
            <a:solidFill>
              <a:schemeClr val="accent3"/>
            </a:solidFill>
            <a:round/>
          </a:ln>
          <a:effectLst/>
        </c:spPr>
        <c:marker>
          <c:symbol val="none"/>
        </c:marker>
        <c:dLbl>
          <c:idx val="0"/>
          <c:layout>
            <c:manualLayout>
              <c:x val="-0.10915566965660113"/>
              <c:y val="-0.13650570464406234"/>
            </c:manualLayout>
          </c:layout>
          <c:spPr>
            <a:noFill/>
            <a:ln>
              <a:noFill/>
            </a:ln>
            <a:effectLst/>
          </c:spPr>
          <c:txPr>
            <a:bodyPr rot="0" spcFirstLastPara="1" vertOverflow="ellipsis" vert="horz" wrap="square" lIns="38100" tIns="19050" rIns="38100" bIns="19050" anchor="ctr" anchorCtr="1">
              <a:noAutofit/>
            </a:bodyPr>
            <a:lstStyle/>
            <a:p>
              <a:pPr>
                <a:defRPr sz="1100" b="1" i="0" u="none" strike="noStrike" kern="1200" baseline="0">
                  <a:solidFill>
                    <a:schemeClr val="accent3"/>
                  </a:solidFill>
                  <a:latin typeface="+mn-lt"/>
                  <a:ea typeface="+mn-ea"/>
                  <a:cs typeface="+mn-cs"/>
                </a:defRPr>
              </a:pPr>
              <a:endParaRPr lang="en-US"/>
            </a:p>
          </c:txPr>
          <c:dLblPos val="r"/>
          <c:showLegendKey val="0"/>
          <c:showVal val="0"/>
          <c:showCatName val="0"/>
          <c:showSerName val="1"/>
          <c:showPercent val="0"/>
          <c:showBubbleSize val="0"/>
          <c:extLst>
            <c:ext xmlns:c15="http://schemas.microsoft.com/office/drawing/2012/chart" uri="{CE6537A1-D6FC-4f65-9D91-7224C49458BB}">
              <c15:layout>
                <c:manualLayout>
                  <c:w val="6.0230950256466451E-2"/>
                  <c:h val="5.9341957255343081E-2"/>
                </c:manualLayout>
              </c15:layout>
            </c:ext>
          </c:extLst>
        </c:dLbl>
      </c:pivotFmt>
      <c:pivotFmt>
        <c:idx val="49"/>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rgbClr val="FF0000"/>
                  </a:solidFill>
                  <a:latin typeface="+mn-lt"/>
                  <a:ea typeface="+mn-ea"/>
                  <a:cs typeface="+mn-cs"/>
                </a:defRPr>
              </a:pPr>
              <a:endParaRPr lang="en-US"/>
            </a:p>
          </c:txPr>
          <c:dLblPos val="t"/>
          <c:showLegendKey val="0"/>
          <c:showVal val="0"/>
          <c:showCatName val="0"/>
          <c:showSerName val="0"/>
          <c:showPercent val="0"/>
          <c:showBubbleSize val="0"/>
          <c:extLst>
            <c:ext xmlns:c15="http://schemas.microsoft.com/office/drawing/2012/chart" uri="{CE6537A1-D6FC-4f65-9D91-7224C49458BB}"/>
          </c:extLst>
        </c:dLbl>
      </c:pivotFmt>
      <c:pivotFmt>
        <c:idx val="50"/>
        <c:spPr>
          <a:ln w="28575" cap="rnd">
            <a:solidFill>
              <a:srgbClr val="FF0000"/>
            </a:solidFill>
            <a:round/>
          </a:ln>
          <a:effectLst/>
        </c:spPr>
        <c:marker>
          <c:symbol val="none"/>
        </c:marker>
        <c:dLbl>
          <c:idx val="0"/>
          <c:layout>
            <c:manualLayout>
              <c:x val="-0.10867383512544802"/>
              <c:y val="-9.2712229868904317E-2"/>
            </c:manualLayout>
          </c:layout>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rgbClr val="FF0000"/>
                  </a:solidFill>
                  <a:latin typeface="+mn-lt"/>
                  <a:ea typeface="+mn-ea"/>
                  <a:cs typeface="+mn-cs"/>
                </a:defRPr>
              </a:pPr>
              <a:endParaRPr lang="en-US"/>
            </a:p>
          </c:txPr>
          <c:dLblPos val="r"/>
          <c:showLegendKey val="0"/>
          <c:showVal val="0"/>
          <c:showCatName val="0"/>
          <c:showSerName val="1"/>
          <c:showPercent val="0"/>
          <c:showBubbleSize val="0"/>
          <c:extLst>
            <c:ext xmlns:c15="http://schemas.microsoft.com/office/drawing/2012/chart" uri="{CE6537A1-D6FC-4f65-9D91-7224C49458BB}"/>
          </c:extLst>
        </c:dLbl>
      </c:pivotFmt>
      <c:pivotFmt>
        <c:idx val="51"/>
        <c:spPr>
          <a:ln w="28575" cap="rnd">
            <a:solidFill>
              <a:sysClr val="windowText" lastClr="00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0"/>
          <c:showCatName val="0"/>
          <c:showSerName val="0"/>
          <c:showPercent val="0"/>
          <c:showBubbleSize val="0"/>
          <c:extLst>
            <c:ext xmlns:c15="http://schemas.microsoft.com/office/drawing/2012/chart" uri="{CE6537A1-D6FC-4f65-9D91-7224C49458BB}"/>
          </c:extLst>
        </c:dLbl>
      </c:pivotFmt>
      <c:pivotFmt>
        <c:idx val="52"/>
        <c:spPr>
          <a:ln w="28575" cap="rnd">
            <a:solidFill>
              <a:sysClr val="windowText" lastClr="000000"/>
            </a:solidFill>
            <a:round/>
          </a:ln>
          <a:effectLst/>
        </c:spPr>
        <c:marker>
          <c:symbol val="none"/>
        </c:marker>
        <c:dLbl>
          <c:idx val="0"/>
          <c:layout>
            <c:manualLayout>
              <c:x val="-0.12186221255146287"/>
              <c:y val="-1.9247683325298748E-2"/>
            </c:manualLayout>
          </c:layout>
          <c:spPr>
            <a:noFill/>
            <a:ln>
              <a:noFill/>
            </a:ln>
            <a:effectLst/>
          </c:spPr>
          <c:txPr>
            <a:bodyPr rot="0" spcFirstLastPara="1" vertOverflow="ellipsis" vert="horz" wrap="square" lIns="38100" tIns="19050" rIns="38100" bIns="19050" anchor="ctr" anchorCtr="1">
              <a:noAutofit/>
            </a:bodyPr>
            <a:lstStyle/>
            <a:p>
              <a:pPr>
                <a:defRPr sz="1100" b="1" i="0" u="none" strike="noStrike" kern="1200" baseline="0">
                  <a:solidFill>
                    <a:sysClr val="windowText" lastClr="000000"/>
                  </a:solidFill>
                  <a:latin typeface="+mn-lt"/>
                  <a:ea typeface="+mn-ea"/>
                  <a:cs typeface="+mn-cs"/>
                </a:defRPr>
              </a:pPr>
              <a:endParaRPr lang="en-US"/>
            </a:p>
          </c:txPr>
          <c:dLblPos val="r"/>
          <c:showLegendKey val="0"/>
          <c:showVal val="0"/>
          <c:showCatName val="0"/>
          <c:showSerName val="1"/>
          <c:showPercent val="0"/>
          <c:showBubbleSize val="0"/>
          <c:extLst>
            <c:ext xmlns:c15="http://schemas.microsoft.com/office/drawing/2012/chart" uri="{CE6537A1-D6FC-4f65-9D91-7224C49458BB}">
              <c15:layout>
                <c:manualLayout>
                  <c:w val="7.6722656188851143E-2"/>
                  <c:h val="8.043762386844501E-2"/>
                </c:manualLayout>
              </c15:layout>
            </c:ext>
          </c:extLst>
        </c:dLbl>
      </c:pivotFmt>
      <c:pivotFmt>
        <c:idx val="53"/>
        <c:spPr>
          <a:ln w="28575" cap="rnd">
            <a:solidFill>
              <a:schemeClr val="accent5">
                <a:lumMod val="75000"/>
              </a:schemeClr>
            </a:solidFill>
            <a:round/>
          </a:ln>
          <a:effectLst/>
        </c:spPr>
        <c:marker>
          <c:symbol val="none"/>
        </c:marker>
        <c:dLbl>
          <c:idx val="0"/>
          <c:layout>
            <c:manualLayout>
              <c:x val="-0.10545916041931884"/>
              <c:y val="-7.8198675028291212E-2"/>
            </c:manualLayout>
          </c:layout>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accent5">
                      <a:lumMod val="75000"/>
                    </a:schemeClr>
                  </a:solidFill>
                  <a:latin typeface="+mn-lt"/>
                  <a:ea typeface="+mn-ea"/>
                  <a:cs typeface="+mn-cs"/>
                </a:defRPr>
              </a:pPr>
              <a:endParaRPr lang="en-US"/>
            </a:p>
          </c:txPr>
          <c:dLblPos val="r"/>
          <c:showLegendKey val="0"/>
          <c:showVal val="0"/>
          <c:showCatName val="0"/>
          <c:showSerName val="1"/>
          <c:showPercent val="0"/>
          <c:showBubbleSize val="0"/>
          <c:extLst>
            <c:ext xmlns:c15="http://schemas.microsoft.com/office/drawing/2012/chart" uri="{CE6537A1-D6FC-4f65-9D91-7224C49458BB}"/>
          </c:extLst>
        </c:dLbl>
      </c:pivotFmt>
      <c:pivotFmt>
        <c:idx val="54"/>
        <c:spPr>
          <a:ln w="28575" cap="rnd">
            <a:solidFill>
              <a:schemeClr val="accent4"/>
            </a:solidFill>
            <a:round/>
          </a:ln>
          <a:effectLst/>
        </c:spPr>
        <c:marker>
          <c:symbol val="none"/>
        </c:marker>
        <c:dLbl>
          <c:idx val="0"/>
          <c:tx>
            <c:rich>
              <a:bodyPr rot="0" spcFirstLastPara="1" vertOverflow="ellipsis" vert="horz" wrap="square" lIns="38100" tIns="19050" rIns="38100" bIns="19050" anchor="ctr" anchorCtr="1">
                <a:spAutoFit/>
              </a:bodyPr>
              <a:lstStyle/>
              <a:p>
                <a:pPr>
                  <a:defRPr sz="1100" b="1" i="0" u="none" strike="noStrike" kern="1200" baseline="0">
                    <a:solidFill>
                      <a:schemeClr val="accent4"/>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accent4"/>
                  </a:solidFill>
                  <a:latin typeface="+mn-lt"/>
                  <a:ea typeface="+mn-ea"/>
                  <a:cs typeface="+mn-cs"/>
                </a:defRPr>
              </a:pPr>
              <a:endParaRPr lang="en-US"/>
            </a:p>
          </c:txPr>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Lst>
        </c:dLbl>
      </c:pivotFmt>
      <c:pivotFmt>
        <c:idx val="55"/>
        <c:spPr>
          <a:ln w="28575" cap="rnd">
            <a:solidFill>
              <a:schemeClr val="accent4"/>
            </a:solidFill>
            <a:round/>
          </a:ln>
          <a:effectLst/>
        </c:spPr>
        <c:marker>
          <c:symbol val="none"/>
        </c:marker>
        <c:dLbl>
          <c:idx val="0"/>
          <c:tx>
            <c:rich>
              <a:bodyPr rot="0" spcFirstLastPara="1" vertOverflow="ellipsis" vert="horz" wrap="square" lIns="38100" tIns="19050" rIns="38100" bIns="19050" anchor="ctr" anchorCtr="1">
                <a:spAutoFit/>
              </a:bodyPr>
              <a:lstStyle/>
              <a:p>
                <a:pPr>
                  <a:defRPr sz="1100" b="1" i="0" u="none" strike="noStrike" kern="1200" baseline="0">
                    <a:solidFill>
                      <a:schemeClr val="accent4"/>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accent4"/>
                  </a:solidFill>
                  <a:latin typeface="+mn-lt"/>
                  <a:ea typeface="+mn-ea"/>
                  <a:cs typeface="+mn-cs"/>
                </a:defRPr>
              </a:pPr>
              <a:endParaRPr lang="en-US"/>
            </a:p>
          </c:txPr>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Lst>
        </c:dLbl>
      </c:pivotFmt>
    </c:pivotFmts>
    <c:plotArea>
      <c:layout>
        <c:manualLayout>
          <c:layoutTarget val="inner"/>
          <c:xMode val="edge"/>
          <c:yMode val="edge"/>
          <c:x val="0.16066081203070293"/>
          <c:y val="3.7414965986394558E-2"/>
          <c:w val="0.82078385331058257"/>
          <c:h val="0.88367936150838289"/>
        </c:manualLayout>
      </c:layout>
      <c:lineChart>
        <c:grouping val="standard"/>
        <c:varyColors val="0"/>
        <c:ser>
          <c:idx val="0"/>
          <c:order val="0"/>
          <c:tx>
            <c:strRef>
              <c:f>'CALCULATION-NGẮN'!$B$2</c:f>
              <c:strCache>
                <c:ptCount val="1"/>
                <c:pt idx="0">
                  <c:v>CT</c:v>
                </c:pt>
              </c:strCache>
            </c:strRef>
          </c:tx>
          <c:spPr>
            <a:ln w="28575" cap="rnd">
              <a:solidFill>
                <a:schemeClr val="accent4"/>
              </a:solidFill>
              <a:round/>
            </a:ln>
            <a:effectLst/>
          </c:spPr>
          <c:marker>
            <c:symbol val="none"/>
          </c:marker>
          <c:dPt>
            <c:idx val="0"/>
            <c:marker>
              <c:symbol val="none"/>
            </c:marker>
            <c:bubble3D val="0"/>
            <c:spPr>
              <a:ln w="28575" cap="rnd">
                <a:solidFill>
                  <a:schemeClr val="accent4"/>
                </a:solidFill>
                <a:round/>
              </a:ln>
              <a:effectLst/>
            </c:spPr>
            <c:extLst>
              <c:ext xmlns:c16="http://schemas.microsoft.com/office/drawing/2014/chart" uri="{C3380CC4-5D6E-409C-BE32-E72D297353CC}">
                <c16:uniqueId val="{00000000-5913-4F09-A5D2-116391454997}"/>
              </c:ext>
            </c:extLst>
          </c:dPt>
          <c:dLbls>
            <c:dLbl>
              <c:idx val="0"/>
              <c:layout>
                <c:manualLayout>
                  <c:x val="-0.11065711952169123"/>
                  <c:y val="-0.21597518492006682"/>
                </c:manualLayout>
              </c:layout>
              <c:tx>
                <c:rich>
                  <a:bodyPr/>
                  <a:lstStyle/>
                  <a:p>
                    <a:fld id="{A9301E95-137E-407F-81F7-94BE92128FC2}"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0-5913-4F09-A5D2-116391454997}"/>
                </c:ext>
              </c:extLst>
            </c:dLbl>
            <c:dLbl>
              <c:idx val="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01-5913-4F09-A5D2-116391454997}"/>
                </c:ext>
              </c:extLst>
            </c:dLbl>
            <c:dLbl>
              <c:idx val="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02-5913-4F09-A5D2-116391454997}"/>
                </c:ext>
              </c:extLst>
            </c:dLbl>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accent4"/>
                    </a:solidFill>
                    <a:latin typeface="+mn-lt"/>
                    <a:ea typeface="+mn-ea"/>
                    <a:cs typeface="+mn-cs"/>
                  </a:defRPr>
                </a:pPr>
                <a:endParaRPr lang="en-US"/>
              </a:p>
            </c:txPr>
            <c:dLblPos val="t"/>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cat>
            <c:strRef>
              <c:f>'CALCULATION-NGẮN'!$B$2</c:f>
              <c:strCache>
                <c:ptCount val="3"/>
                <c:pt idx="0">
                  <c:v>4</c:v>
                </c:pt>
                <c:pt idx="1">
                  <c:v>5</c:v>
                </c:pt>
                <c:pt idx="2">
                  <c:v>6</c:v>
                </c:pt>
              </c:strCache>
            </c:strRef>
          </c:cat>
          <c:val>
            <c:numRef>
              <c:f>'CALCULATION-NGẮN'!$B$2</c:f>
              <c:numCache>
                <c:formatCode>_(* #,##0_);_(* \(#,##0\);_(* "-"??_);_(@_)</c:formatCode>
                <c:ptCount val="3"/>
                <c:pt idx="0">
                  <c:v>544024000</c:v>
                </c:pt>
                <c:pt idx="1">
                  <c:v>499932000</c:v>
                </c:pt>
                <c:pt idx="2">
                  <c:v>323822400</c:v>
                </c:pt>
              </c:numCache>
            </c:numRef>
          </c:val>
          <c:smooth val="0"/>
          <c:extLst>
            <c:ext xmlns:c15="http://schemas.microsoft.com/office/drawing/2012/chart" uri="{02D57815-91ED-43cb-92C2-25804820EDAC}">
              <c15:datalabelsRange>
                <c15:f>'CALCULATION-NGẮN'!$B$2</c15:f>
                <c15:dlblRangeCache>
                  <c:ptCount val="1"/>
                  <c:pt idx="0">
                    <c:v> CT </c:v>
                  </c:pt>
                </c15:dlblRangeCache>
              </c15:datalabelsRange>
            </c:ext>
            <c:ext xmlns:c16="http://schemas.microsoft.com/office/drawing/2014/chart" uri="{C3380CC4-5D6E-409C-BE32-E72D297353CC}">
              <c16:uniqueId val="{00000003-5913-4F09-A5D2-116391454997}"/>
            </c:ext>
          </c:extLst>
        </c:ser>
        <c:ser>
          <c:idx val="1"/>
          <c:order val="1"/>
          <c:tx>
            <c:strRef>
              <c:f>'CALCULATION-NGẮN'!$B$2</c:f>
              <c:strCache>
                <c:ptCount val="1"/>
                <c:pt idx="0">
                  <c:v>DN</c:v>
                </c:pt>
              </c:strCache>
            </c:strRef>
          </c:tx>
          <c:spPr>
            <a:ln w="28575" cap="rnd">
              <a:solidFill>
                <a:schemeClr val="accent2">
                  <a:lumMod val="60000"/>
                  <a:lumOff val="40000"/>
                </a:schemeClr>
              </a:solidFill>
              <a:round/>
            </a:ln>
            <a:effectLst/>
          </c:spPr>
          <c:marker>
            <c:symbol val="none"/>
          </c:marker>
          <c:dPt>
            <c:idx val="0"/>
            <c:marker>
              <c:symbol val="none"/>
            </c:marker>
            <c:bubble3D val="0"/>
            <c:spPr>
              <a:ln w="28575" cap="rnd">
                <a:solidFill>
                  <a:schemeClr val="accent2">
                    <a:lumMod val="60000"/>
                    <a:lumOff val="40000"/>
                  </a:schemeClr>
                </a:solidFill>
                <a:round/>
              </a:ln>
              <a:effectLst/>
            </c:spPr>
            <c:extLst>
              <c:ext xmlns:c16="http://schemas.microsoft.com/office/drawing/2014/chart" uri="{C3380CC4-5D6E-409C-BE32-E72D297353CC}">
                <c16:uniqueId val="{00000003-1F16-404A-89F7-15C2D99AB92B}"/>
              </c:ext>
            </c:extLst>
          </c:dPt>
          <c:dLbls>
            <c:dLbl>
              <c:idx val="0"/>
              <c:layout>
                <c:manualLayout>
                  <c:x val="-0.10962817147856518"/>
                  <c:y val="-0.16970260607187881"/>
                </c:manualLayout>
              </c:layout>
              <c:dLblPos val="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3-1F16-404A-89F7-15C2D99AB92B}"/>
                </c:ext>
              </c:extLst>
            </c:dLbl>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accent2">
                        <a:lumMod val="60000"/>
                        <a:lumOff val="40000"/>
                      </a:schemeClr>
                    </a:solidFill>
                    <a:latin typeface="+mn-lt"/>
                    <a:ea typeface="+mn-ea"/>
                    <a:cs typeface="+mn-cs"/>
                  </a:defRPr>
                </a:pPr>
                <a:endParaRPr lang="en-US"/>
              </a:p>
            </c:txPr>
            <c:dLblPos val="t"/>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'CALCULATION-NGẮN'!$B$2</c:f>
              <c:strCache>
                <c:ptCount val="3"/>
                <c:pt idx="0">
                  <c:v>4</c:v>
                </c:pt>
                <c:pt idx="1">
                  <c:v>5</c:v>
                </c:pt>
                <c:pt idx="2">
                  <c:v>6</c:v>
                </c:pt>
              </c:strCache>
            </c:strRef>
          </c:cat>
          <c:val>
            <c:numRef>
              <c:f>'CALCULATION-NGẮN'!$B$2</c:f>
              <c:numCache>
                <c:formatCode>_(* #,##0_);_(* \(#,##0\);_(* "-"??_);_(@_)</c:formatCode>
                <c:ptCount val="3"/>
                <c:pt idx="0">
                  <c:v>390317681.00000024</c:v>
                </c:pt>
                <c:pt idx="1">
                  <c:v>528955635.00000006</c:v>
                </c:pt>
                <c:pt idx="2">
                  <c:v>596808686.00000012</c:v>
                </c:pt>
              </c:numCache>
            </c:numRef>
          </c:val>
          <c:smooth val="0"/>
          <c:extLst>
            <c:ext xmlns:c16="http://schemas.microsoft.com/office/drawing/2014/chart" uri="{C3380CC4-5D6E-409C-BE32-E72D297353CC}">
              <c16:uniqueId val="{0000000F-8449-44CE-AD82-9BCE16E1EECB}"/>
            </c:ext>
          </c:extLst>
        </c:ser>
        <c:ser>
          <c:idx val="2"/>
          <c:order val="2"/>
          <c:tx>
            <c:strRef>
              <c:f>'CALCULATION-NGẮN'!$B$2</c:f>
              <c:strCache>
                <c:ptCount val="1"/>
                <c:pt idx="0">
                  <c:v>HCM</c:v>
                </c:pt>
              </c:strCache>
            </c:strRef>
          </c:tx>
          <c:spPr>
            <a:ln w="28575" cap="rnd">
              <a:solidFill>
                <a:schemeClr val="accent2"/>
              </a:solidFill>
              <a:round/>
            </a:ln>
            <a:effectLst/>
          </c:spPr>
          <c:marker>
            <c:symbol val="none"/>
          </c:marker>
          <c:dPt>
            <c:idx val="0"/>
            <c:marker>
              <c:symbol val="none"/>
            </c:marker>
            <c:bubble3D val="0"/>
            <c:spPr>
              <a:ln w="28575" cap="rnd">
                <a:solidFill>
                  <a:schemeClr val="accent2"/>
                </a:solidFill>
                <a:round/>
              </a:ln>
              <a:effectLst/>
            </c:spPr>
            <c:extLst>
              <c:ext xmlns:c16="http://schemas.microsoft.com/office/drawing/2014/chart" uri="{C3380CC4-5D6E-409C-BE32-E72D297353CC}">
                <c16:uniqueId val="{00000005-1F16-404A-89F7-15C2D99AB92B}"/>
              </c:ext>
            </c:extLst>
          </c:dPt>
          <c:dLbls>
            <c:dLbl>
              <c:idx val="0"/>
              <c:layout>
                <c:manualLayout>
                  <c:x val="-0.10875906640702174"/>
                  <c:y val="-6.199461287811471E-2"/>
                </c:manualLayout>
              </c:layout>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accent2"/>
                      </a:solidFill>
                      <a:latin typeface="+mn-lt"/>
                      <a:ea typeface="+mn-ea"/>
                      <a:cs typeface="+mn-cs"/>
                    </a:defRPr>
                  </a:pPr>
                  <a:endParaRPr lang="en-US"/>
                </a:p>
              </c:txPr>
              <c:dLblPos val="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5-1F16-404A-89F7-15C2D99AB92B}"/>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'CALCULATION-NGẮN'!$B$2</c:f>
              <c:strCache>
                <c:ptCount val="3"/>
                <c:pt idx="0">
                  <c:v>4</c:v>
                </c:pt>
                <c:pt idx="1">
                  <c:v>5</c:v>
                </c:pt>
                <c:pt idx="2">
                  <c:v>6</c:v>
                </c:pt>
              </c:strCache>
            </c:strRef>
          </c:cat>
          <c:val>
            <c:numRef>
              <c:f>'CALCULATION-NGẮN'!$B$2</c:f>
              <c:numCache>
                <c:formatCode>_(* #,##0_);_(* \(#,##0\);_(* "-"??_);_(@_)</c:formatCode>
                <c:ptCount val="3"/>
                <c:pt idx="0">
                  <c:v>1514977568.6188099</c:v>
                </c:pt>
                <c:pt idx="1">
                  <c:v>1649400745.9977701</c:v>
                </c:pt>
                <c:pt idx="2">
                  <c:v>1295282108.81213</c:v>
                </c:pt>
              </c:numCache>
            </c:numRef>
          </c:val>
          <c:smooth val="0"/>
          <c:extLst>
            <c:ext xmlns:c16="http://schemas.microsoft.com/office/drawing/2014/chart" uri="{C3380CC4-5D6E-409C-BE32-E72D297353CC}">
              <c16:uniqueId val="{00000010-8449-44CE-AD82-9BCE16E1EECB}"/>
            </c:ext>
          </c:extLst>
        </c:ser>
        <c:ser>
          <c:idx val="3"/>
          <c:order val="3"/>
          <c:tx>
            <c:strRef>
              <c:f>'CALCULATION-NGẮN'!$B$2</c:f>
              <c:strCache>
                <c:ptCount val="1"/>
                <c:pt idx="0">
                  <c:v>HN</c:v>
                </c:pt>
              </c:strCache>
            </c:strRef>
          </c:tx>
          <c:spPr>
            <a:ln w="28575" cap="rnd">
              <a:solidFill>
                <a:schemeClr val="accent5">
                  <a:lumMod val="75000"/>
                </a:schemeClr>
              </a:solidFill>
              <a:round/>
            </a:ln>
            <a:effectLst/>
          </c:spPr>
          <c:marker>
            <c:symbol val="none"/>
          </c:marker>
          <c:dPt>
            <c:idx val="0"/>
            <c:marker>
              <c:symbol val="none"/>
            </c:marker>
            <c:bubble3D val="0"/>
            <c:spPr>
              <a:ln w="28575" cap="rnd">
                <a:solidFill>
                  <a:schemeClr val="accent5">
                    <a:lumMod val="75000"/>
                  </a:schemeClr>
                </a:solidFill>
                <a:round/>
              </a:ln>
              <a:effectLst/>
            </c:spPr>
            <c:extLst>
              <c:ext xmlns:c16="http://schemas.microsoft.com/office/drawing/2014/chart" uri="{C3380CC4-5D6E-409C-BE32-E72D297353CC}">
                <c16:uniqueId val="{00000007-1F16-404A-89F7-15C2D99AB92B}"/>
              </c:ext>
            </c:extLst>
          </c:dPt>
          <c:dLbls>
            <c:dLbl>
              <c:idx val="0"/>
              <c:layout>
                <c:manualLayout>
                  <c:x val="-0.10545916041931884"/>
                  <c:y val="-7.8198675028291212E-2"/>
                </c:manualLayout>
              </c:layout>
              <c:dLblPos val="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7-1F16-404A-89F7-15C2D99AB92B}"/>
                </c:ext>
              </c:extLst>
            </c:dLbl>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accent5">
                        <a:lumMod val="75000"/>
                      </a:schemeClr>
                    </a:solidFill>
                    <a:latin typeface="+mn-lt"/>
                    <a:ea typeface="+mn-ea"/>
                    <a:cs typeface="+mn-cs"/>
                  </a:defRPr>
                </a:pPr>
                <a:endParaRPr lang="en-US"/>
              </a:p>
            </c:txPr>
            <c:dLblPos val="t"/>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'CALCULATION-NGẮN'!$B$2</c:f>
              <c:strCache>
                <c:ptCount val="3"/>
                <c:pt idx="0">
                  <c:v>4</c:v>
                </c:pt>
                <c:pt idx="1">
                  <c:v>5</c:v>
                </c:pt>
                <c:pt idx="2">
                  <c:v>6</c:v>
                </c:pt>
              </c:strCache>
            </c:strRef>
          </c:cat>
          <c:val>
            <c:numRef>
              <c:f>'CALCULATION-NGẮN'!$B$2</c:f>
              <c:numCache>
                <c:formatCode>_(* #,##0_);_(* \(#,##0\);_(* "-"??_);_(@_)</c:formatCode>
                <c:ptCount val="3"/>
                <c:pt idx="0">
                  <c:v>1890488452.447052</c:v>
                </c:pt>
                <c:pt idx="1">
                  <c:v>2496916451.6074924</c:v>
                </c:pt>
                <c:pt idx="2">
                  <c:v>1328608050.880312</c:v>
                </c:pt>
              </c:numCache>
            </c:numRef>
          </c:val>
          <c:smooth val="0"/>
          <c:extLst>
            <c:ext xmlns:c16="http://schemas.microsoft.com/office/drawing/2014/chart" uri="{C3380CC4-5D6E-409C-BE32-E72D297353CC}">
              <c16:uniqueId val="{00000011-8449-44CE-AD82-9BCE16E1EECB}"/>
            </c:ext>
          </c:extLst>
        </c:ser>
        <c:ser>
          <c:idx val="4"/>
          <c:order val="4"/>
          <c:tx>
            <c:strRef>
              <c:f>'CALCULATION-NGẮN'!$B$2</c:f>
              <c:strCache>
                <c:ptCount val="1"/>
                <c:pt idx="0">
                  <c:v>HP</c:v>
                </c:pt>
              </c:strCache>
            </c:strRef>
          </c:tx>
          <c:spPr>
            <a:ln w="28575" cap="rnd">
              <a:solidFill>
                <a:schemeClr val="accent3"/>
              </a:solidFill>
              <a:round/>
            </a:ln>
            <a:effectLst/>
          </c:spPr>
          <c:marker>
            <c:symbol val="none"/>
          </c:marker>
          <c:dPt>
            <c:idx val="0"/>
            <c:marker>
              <c:symbol val="none"/>
            </c:marker>
            <c:bubble3D val="0"/>
            <c:spPr>
              <a:ln w="28575" cap="rnd">
                <a:solidFill>
                  <a:schemeClr val="accent3"/>
                </a:solidFill>
                <a:round/>
              </a:ln>
              <a:effectLst/>
            </c:spPr>
            <c:extLst>
              <c:ext xmlns:c16="http://schemas.microsoft.com/office/drawing/2014/chart" uri="{C3380CC4-5D6E-409C-BE32-E72D297353CC}">
                <c16:uniqueId val="{00000009-1F16-404A-89F7-15C2D99AB92B}"/>
              </c:ext>
            </c:extLst>
          </c:dPt>
          <c:dLbls>
            <c:dLbl>
              <c:idx val="0"/>
              <c:layout>
                <c:manualLayout>
                  <c:x val="-0.10915566965660113"/>
                  <c:y val="-0.13650570464406234"/>
                </c:manualLayout>
              </c:layout>
              <c:spPr>
                <a:noFill/>
                <a:ln>
                  <a:noFill/>
                </a:ln>
                <a:effectLst/>
              </c:spPr>
              <c:txPr>
                <a:bodyPr rot="0" spcFirstLastPara="1" vertOverflow="ellipsis" vert="horz" wrap="square" lIns="38100" tIns="19050" rIns="38100" bIns="19050" anchor="ctr" anchorCtr="1">
                  <a:noAutofit/>
                </a:bodyPr>
                <a:lstStyle/>
                <a:p>
                  <a:pPr>
                    <a:defRPr sz="1100" b="1" i="0" u="none" strike="noStrike" kern="1200" baseline="0">
                      <a:solidFill>
                        <a:schemeClr val="accent3"/>
                      </a:solidFill>
                      <a:latin typeface="+mn-lt"/>
                      <a:ea typeface="+mn-ea"/>
                      <a:cs typeface="+mn-cs"/>
                    </a:defRPr>
                  </a:pPr>
                  <a:endParaRPr lang="en-US"/>
                </a:p>
              </c:txPr>
              <c:dLblPos val="r"/>
              <c:showLegendKey val="0"/>
              <c:showVal val="0"/>
              <c:showCatName val="0"/>
              <c:showSerName val="1"/>
              <c:showPercent val="0"/>
              <c:showBubbleSize val="0"/>
              <c:extLst>
                <c:ext xmlns:c15="http://schemas.microsoft.com/office/drawing/2012/chart" uri="{CE6537A1-D6FC-4f65-9D91-7224C49458BB}">
                  <c15:layout>
                    <c:manualLayout>
                      <c:w val="6.0230950256466451E-2"/>
                      <c:h val="5.9341957255343081E-2"/>
                    </c:manualLayout>
                  </c15:layout>
                </c:ext>
                <c:ext xmlns:c16="http://schemas.microsoft.com/office/drawing/2014/chart" uri="{C3380CC4-5D6E-409C-BE32-E72D297353CC}">
                  <c16:uniqueId val="{00000009-1F16-404A-89F7-15C2D99AB92B}"/>
                </c:ext>
              </c:extLst>
            </c:dLbl>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accent3"/>
                    </a:solidFill>
                    <a:latin typeface="+mn-lt"/>
                    <a:ea typeface="+mn-ea"/>
                    <a:cs typeface="+mn-cs"/>
                  </a:defRPr>
                </a:pPr>
                <a:endParaRPr lang="en-US"/>
              </a:p>
            </c:txPr>
            <c:dLblPos val="t"/>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'CALCULATION-NGẮN'!$B$2</c:f>
              <c:strCache>
                <c:ptCount val="3"/>
                <c:pt idx="0">
                  <c:v>4</c:v>
                </c:pt>
                <c:pt idx="1">
                  <c:v>5</c:v>
                </c:pt>
                <c:pt idx="2">
                  <c:v>6</c:v>
                </c:pt>
              </c:strCache>
            </c:strRef>
          </c:cat>
          <c:val>
            <c:numRef>
              <c:f>'CALCULATION-NGẮN'!$B$2</c:f>
              <c:numCache>
                <c:formatCode>_(* #,##0_);_(* \(#,##0\);_(* "-"??_);_(@_)</c:formatCode>
                <c:ptCount val="3"/>
                <c:pt idx="0">
                  <c:v>226182181.81818175</c:v>
                </c:pt>
                <c:pt idx="1">
                  <c:v>226182181.81818175</c:v>
                </c:pt>
                <c:pt idx="2">
                  <c:v>234684789.88888872</c:v>
                </c:pt>
              </c:numCache>
            </c:numRef>
          </c:val>
          <c:smooth val="0"/>
          <c:extLst>
            <c:ext xmlns:c16="http://schemas.microsoft.com/office/drawing/2014/chart" uri="{C3380CC4-5D6E-409C-BE32-E72D297353CC}">
              <c16:uniqueId val="{00000012-8449-44CE-AD82-9BCE16E1EECB}"/>
            </c:ext>
          </c:extLst>
        </c:ser>
        <c:ser>
          <c:idx val="5"/>
          <c:order val="5"/>
          <c:tx>
            <c:strRef>
              <c:f>'CALCULATION-NGẮN'!$B$2</c:f>
              <c:strCache>
                <c:ptCount val="1"/>
                <c:pt idx="0">
                  <c:v>KH</c:v>
                </c:pt>
              </c:strCache>
            </c:strRef>
          </c:tx>
          <c:spPr>
            <a:ln w="28575" cap="rnd">
              <a:solidFill>
                <a:srgbClr val="FF0000"/>
              </a:solidFill>
              <a:round/>
            </a:ln>
            <a:effectLst/>
          </c:spPr>
          <c:marker>
            <c:symbol val="none"/>
          </c:marker>
          <c:dPt>
            <c:idx val="0"/>
            <c:marker>
              <c:symbol val="none"/>
            </c:marker>
            <c:bubble3D val="0"/>
            <c:spPr>
              <a:ln w="28575" cap="rnd">
                <a:solidFill>
                  <a:srgbClr val="FF0000"/>
                </a:solidFill>
                <a:round/>
              </a:ln>
              <a:effectLst/>
            </c:spPr>
            <c:extLst>
              <c:ext xmlns:c16="http://schemas.microsoft.com/office/drawing/2014/chart" uri="{C3380CC4-5D6E-409C-BE32-E72D297353CC}">
                <c16:uniqueId val="{0000000B-1F16-404A-89F7-15C2D99AB92B}"/>
              </c:ext>
            </c:extLst>
          </c:dPt>
          <c:dLbls>
            <c:dLbl>
              <c:idx val="0"/>
              <c:layout>
                <c:manualLayout>
                  <c:x val="-0.10867383512544802"/>
                  <c:y val="-9.2712229868904317E-2"/>
                </c:manualLayout>
              </c:layout>
              <c:dLblPos val="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B-1F16-404A-89F7-15C2D99AB92B}"/>
                </c:ext>
              </c:extLst>
            </c:dLbl>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rgbClr val="FF0000"/>
                    </a:solidFill>
                    <a:latin typeface="+mn-lt"/>
                    <a:ea typeface="+mn-ea"/>
                    <a:cs typeface="+mn-cs"/>
                  </a:defRPr>
                </a:pPr>
                <a:endParaRPr lang="en-US"/>
              </a:p>
            </c:txPr>
            <c:dLblPos val="t"/>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'CALCULATION-NGẮN'!$B$2</c:f>
              <c:strCache>
                <c:ptCount val="3"/>
                <c:pt idx="0">
                  <c:v>4</c:v>
                </c:pt>
                <c:pt idx="1">
                  <c:v>5</c:v>
                </c:pt>
                <c:pt idx="2">
                  <c:v>6</c:v>
                </c:pt>
              </c:strCache>
            </c:strRef>
          </c:cat>
          <c:val>
            <c:numRef>
              <c:f>'CALCULATION-NGẮN'!$B$2</c:f>
              <c:numCache>
                <c:formatCode>_(* #,##0_);_(* \(#,##0\);_(* "-"??_);_(@_)</c:formatCode>
                <c:ptCount val="3"/>
                <c:pt idx="0">
                  <c:v>117463100</c:v>
                </c:pt>
                <c:pt idx="1">
                  <c:v>152109145</c:v>
                </c:pt>
                <c:pt idx="2">
                  <c:v>114681310</c:v>
                </c:pt>
              </c:numCache>
            </c:numRef>
          </c:val>
          <c:smooth val="0"/>
          <c:extLst>
            <c:ext xmlns:c16="http://schemas.microsoft.com/office/drawing/2014/chart" uri="{C3380CC4-5D6E-409C-BE32-E72D297353CC}">
              <c16:uniqueId val="{00000013-8449-44CE-AD82-9BCE16E1EECB}"/>
            </c:ext>
          </c:extLst>
        </c:ser>
        <c:ser>
          <c:idx val="6"/>
          <c:order val="6"/>
          <c:tx>
            <c:strRef>
              <c:f>'CALCULATION-NGẮN'!$B$2</c:f>
              <c:strCache>
                <c:ptCount val="1"/>
                <c:pt idx="0">
                  <c:v>NA</c:v>
                </c:pt>
              </c:strCache>
            </c:strRef>
          </c:tx>
          <c:spPr>
            <a:ln w="28575" cap="rnd">
              <a:solidFill>
                <a:sysClr val="windowText" lastClr="000000"/>
              </a:solidFill>
              <a:round/>
            </a:ln>
            <a:effectLst/>
          </c:spPr>
          <c:marker>
            <c:symbol val="none"/>
          </c:marker>
          <c:dPt>
            <c:idx val="0"/>
            <c:marker>
              <c:symbol val="none"/>
            </c:marker>
            <c:bubble3D val="0"/>
            <c:spPr>
              <a:ln w="28575" cap="rnd">
                <a:solidFill>
                  <a:sysClr val="windowText" lastClr="000000"/>
                </a:solidFill>
                <a:round/>
              </a:ln>
              <a:effectLst/>
            </c:spPr>
            <c:extLst>
              <c:ext xmlns:c16="http://schemas.microsoft.com/office/drawing/2014/chart" uri="{C3380CC4-5D6E-409C-BE32-E72D297353CC}">
                <c16:uniqueId val="{0000000D-1F16-404A-89F7-15C2D99AB92B}"/>
              </c:ext>
            </c:extLst>
          </c:dPt>
          <c:dLbls>
            <c:dLbl>
              <c:idx val="0"/>
              <c:layout>
                <c:manualLayout>
                  <c:x val="-0.12186221255146287"/>
                  <c:y val="-1.9247683325298748E-2"/>
                </c:manualLayout>
              </c:layout>
              <c:spPr>
                <a:noFill/>
                <a:ln>
                  <a:noFill/>
                </a:ln>
                <a:effectLst/>
              </c:spPr>
              <c:txPr>
                <a:bodyPr rot="0" spcFirstLastPara="1" vertOverflow="ellipsis" vert="horz" wrap="square" lIns="38100" tIns="19050" rIns="38100" bIns="19050" anchor="ctr" anchorCtr="1">
                  <a:noAutofit/>
                </a:bodyPr>
                <a:lstStyle/>
                <a:p>
                  <a:pPr>
                    <a:defRPr sz="1100" b="1" i="0" u="none" strike="noStrike" kern="1200" baseline="0">
                      <a:solidFill>
                        <a:sysClr val="windowText" lastClr="000000"/>
                      </a:solidFill>
                      <a:latin typeface="+mn-lt"/>
                      <a:ea typeface="+mn-ea"/>
                      <a:cs typeface="+mn-cs"/>
                    </a:defRPr>
                  </a:pPr>
                  <a:endParaRPr lang="en-US"/>
                </a:p>
              </c:txPr>
              <c:dLblPos val="r"/>
              <c:showLegendKey val="0"/>
              <c:showVal val="0"/>
              <c:showCatName val="0"/>
              <c:showSerName val="1"/>
              <c:showPercent val="0"/>
              <c:showBubbleSize val="0"/>
              <c:extLst>
                <c:ext xmlns:c15="http://schemas.microsoft.com/office/drawing/2012/chart" uri="{CE6537A1-D6FC-4f65-9D91-7224C49458BB}">
                  <c15:layout>
                    <c:manualLayout>
                      <c:w val="7.6722656188851143E-2"/>
                      <c:h val="8.043762386844501E-2"/>
                    </c:manualLayout>
                  </c15:layout>
                </c:ext>
                <c:ext xmlns:c16="http://schemas.microsoft.com/office/drawing/2014/chart" uri="{C3380CC4-5D6E-409C-BE32-E72D297353CC}">
                  <c16:uniqueId val="{0000000D-1F16-404A-89F7-15C2D99AB92B}"/>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'CALCULATION-NGẮN'!$B$2</c:f>
              <c:strCache>
                <c:ptCount val="3"/>
                <c:pt idx="0">
                  <c:v>4</c:v>
                </c:pt>
                <c:pt idx="1">
                  <c:v>5</c:v>
                </c:pt>
                <c:pt idx="2">
                  <c:v>6</c:v>
                </c:pt>
              </c:strCache>
            </c:strRef>
          </c:cat>
          <c:val>
            <c:numRef>
              <c:f>'CALCULATION-NGẮN'!$B$2</c:f>
              <c:numCache>
                <c:formatCode>_(* #,##0_);_(* \(#,##0\);_(* "-"??_);_(@_)</c:formatCode>
                <c:ptCount val="3"/>
                <c:pt idx="0">
                  <c:v>61396000</c:v>
                </c:pt>
                <c:pt idx="1">
                  <c:v>135512999.99999994</c:v>
                </c:pt>
                <c:pt idx="2">
                  <c:v>75202000</c:v>
                </c:pt>
              </c:numCache>
            </c:numRef>
          </c:val>
          <c:smooth val="0"/>
          <c:extLst>
            <c:ext xmlns:c16="http://schemas.microsoft.com/office/drawing/2014/chart" uri="{C3380CC4-5D6E-409C-BE32-E72D297353CC}">
              <c16:uniqueId val="{00000014-8449-44CE-AD82-9BCE16E1EECB}"/>
            </c:ext>
          </c:extLst>
        </c:ser>
        <c:dLbls>
          <c:showLegendKey val="0"/>
          <c:showVal val="0"/>
          <c:showCatName val="0"/>
          <c:showSerName val="0"/>
          <c:showPercent val="0"/>
          <c:showBubbleSize val="0"/>
        </c:dLbls>
        <c:smooth val="0"/>
        <c:axId val="1809746495"/>
        <c:axId val="1896173855"/>
      </c:lineChart>
      <c:catAx>
        <c:axId val="180974649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Arial Narrow" panose="020B0606020202030204" pitchFamily="34" charset="0"/>
                <a:ea typeface="+mn-ea"/>
                <a:cs typeface="+mn-cs"/>
              </a:defRPr>
            </a:pPr>
            <a:endParaRPr lang="en-US"/>
          </a:p>
        </c:txPr>
        <c:crossAx val="1896173855"/>
        <c:crosses val="autoZero"/>
        <c:auto val="1"/>
        <c:lblAlgn val="ctr"/>
        <c:lblOffset val="100"/>
        <c:noMultiLvlLbl val="0"/>
      </c:catAx>
      <c:valAx>
        <c:axId val="1896173855"/>
        <c:scaling>
          <c:orientation val="minMax"/>
        </c:scaling>
        <c:delete val="0"/>
        <c:axPos val="l"/>
        <c:numFmt formatCode="_(* #,##0_);_(* \(#,##0\);_(*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Arial Narrow" panose="020B0606020202030204" pitchFamily="34" charset="0"/>
                <a:ea typeface="+mn-ea"/>
                <a:cs typeface="+mn-cs"/>
              </a:defRPr>
            </a:pPr>
            <a:endParaRPr lang="en-US"/>
          </a:p>
        </c:txPr>
        <c:crossAx val="1809746495"/>
        <c:crosses val="autoZero"/>
        <c:crossBetween val="between"/>
        <c:dispUnits>
          <c:builtInUnit val="millions"/>
          <c:dispUnitsLbl>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dispUnitsLbl>
        </c:dispUnits>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accent6">
        <a:lumMod val="20000"/>
        <a:lumOff val="80000"/>
      </a:schemeClr>
    </a:solidFill>
    <a:ln w="25400" cap="flat" cmpd="sng" algn="ctr">
      <a:solidFill>
        <a:schemeClr val="accent6">
          <a:lumMod val="75000"/>
        </a:schemeClr>
      </a:solidFill>
      <a:prstDash val="lgDash"/>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3"/>
    </mc:Choice>
    <mc:Fallback>
      <c:style val="3"/>
    </mc:Fallback>
  </mc:AlternateContent>
  <c:pivotSource>
    <c:name>[Dashboard - DAV Transportation Cost.xlsm]CALCULATION-NGẮN!KPI</c:name>
    <c:fmtId val="6"/>
  </c:pivotSource>
  <c:chart>
    <c:title>
      <c:tx>
        <c:rich>
          <a:bodyPr rot="0" spcFirstLastPara="1" vertOverflow="ellipsis" vert="horz" wrap="square" anchor="ctr" anchorCtr="1"/>
          <a:lstStyle/>
          <a:p>
            <a:pPr>
              <a:defRPr sz="1800" b="0" i="0" u="none" strike="noStrike" kern="1200" spc="0" baseline="0">
                <a:solidFill>
                  <a:schemeClr val="tx1">
                    <a:lumMod val="65000"/>
                    <a:lumOff val="35000"/>
                  </a:schemeClr>
                </a:solidFill>
                <a:latin typeface="UTM Bebas" panose="02040603050506020204" pitchFamily="18" charset="0"/>
                <a:ea typeface="+mn-ea"/>
                <a:cs typeface="+mn-cs"/>
              </a:defRPr>
            </a:pPr>
            <a:r>
              <a:rPr lang="en-US" sz="1800" b="0">
                <a:solidFill>
                  <a:schemeClr val="accent1">
                    <a:lumMod val="75000"/>
                  </a:schemeClr>
                </a:solidFill>
                <a:latin typeface="UTM Bebas" panose="02040603050506020204" pitchFamily="18" charset="0"/>
              </a:rPr>
              <a:t>KPI</a:t>
            </a:r>
          </a:p>
        </c:rich>
      </c:tx>
      <c:overlay val="0"/>
      <c:spPr>
        <a:noFill/>
        <a:ln>
          <a:noFill/>
        </a:ln>
        <a:effectLst/>
      </c:spPr>
      <c:txPr>
        <a:bodyPr rot="0" spcFirstLastPara="1" vertOverflow="ellipsis" vert="horz" wrap="square" anchor="ctr" anchorCtr="1"/>
        <a:lstStyle/>
        <a:p>
          <a:pPr>
            <a:defRPr sz="1800" b="0" i="0" u="none" strike="noStrike" kern="1200" spc="0" baseline="0">
              <a:solidFill>
                <a:schemeClr val="tx1">
                  <a:lumMod val="65000"/>
                  <a:lumOff val="35000"/>
                </a:schemeClr>
              </a:solidFill>
              <a:latin typeface="UTM Bebas" panose="02040603050506020204" pitchFamily="18" charset="0"/>
              <a:ea typeface="+mn-ea"/>
              <a:cs typeface="+mn-cs"/>
            </a:defRPr>
          </a:pPr>
          <a:endParaRPr lang="en-US"/>
        </a:p>
      </c:txPr>
    </c:title>
    <c:autoTitleDeleted val="0"/>
    <c:pivotFmts>
      <c:pivotFmt>
        <c:idx val="0"/>
        <c:spPr>
          <a:solidFill>
            <a:schemeClr val="accent1">
              <a:lumMod val="60000"/>
              <a:lumOff val="4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6">
                <a:lumMod val="75000"/>
              </a:schemeClr>
            </a:solidFill>
            <a:prstDash val="sysDash"/>
            <a:round/>
            <a:extLst>
              <a:ext uri="{C807C97D-BFC1-408E-A445-0C87EB9F89A2}">
                <ask:lineSketchStyleProps xmlns:ask="http://schemas.microsoft.com/office/drawing/2018/sketchyshapes">
                  <ask:type>
                    <ask:lineSketchNone/>
                  </ask:type>
                </ask:lineSketchStyleProps>
              </a:ext>
            </a:extLst>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4">
                <a:lumMod val="60000"/>
                <a:lumOff val="40000"/>
              </a:schemeClr>
            </a:solidFill>
            <a:prstDash val="sysDash"/>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2"/>
            </a:solidFill>
            <a:prstDash val="sysDash"/>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lumMod val="60000"/>
              <a:lumOff val="4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6">
                <a:lumMod val="75000"/>
              </a:schemeClr>
            </a:solidFill>
            <a:prstDash val="sysDash"/>
            <a:round/>
            <a:extLst>
              <a:ext uri="{C807C97D-BFC1-408E-A445-0C87EB9F89A2}">
                <ask:lineSketchStyleProps xmlns:ask="http://schemas.microsoft.com/office/drawing/2018/sketchyshapes">
                  <ask:type>
                    <ask:lineSketchNone/>
                  </ask:type>
                </ask:lineSketchStyleProps>
              </a:ext>
            </a:extLst>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4">
                <a:lumMod val="60000"/>
                <a:lumOff val="40000"/>
              </a:schemeClr>
            </a:solidFill>
            <a:prstDash val="sysDash"/>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chemeClr val="accent2"/>
            </a:solidFill>
            <a:prstDash val="sysDash"/>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lumMod val="60000"/>
              <a:lumOff val="40000"/>
            </a:schemeClr>
          </a:solidFill>
          <a:ln>
            <a:solidFill>
              <a:srgbClr val="002060"/>
            </a:solidFill>
          </a:ln>
          <a:effectLst/>
        </c:spPr>
        <c:marker>
          <c:symbol val="none"/>
        </c:marker>
        <c:dLbl>
          <c:idx val="0"/>
          <c:numFmt formatCode="0.0%" sourceLinked="0"/>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accent1">
                      <a:lumMod val="75000"/>
                    </a:schemeClr>
                  </a:solidFill>
                  <a:latin typeface="Arial Narrow" panose="020B0606020202030204" pitchFamily="34" charset="0"/>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9"/>
        <c:spPr>
          <a:ln w="28575" cap="rnd">
            <a:solidFill>
              <a:srgbClr val="00B050"/>
            </a:solidFill>
            <a:prstDash val="sysDash"/>
            <a:round/>
            <a:extLst>
              <a:ext uri="{C807C97D-BFC1-408E-A445-0C87EB9F89A2}">
                <ask:lineSketchStyleProps xmlns:ask="http://schemas.microsoft.com/office/drawing/2018/sketchyshapes">
                  <ask:type>
                    <ask:lineSketchNone/>
                  </ask:type>
                </ask:lineSketchStyleProps>
              </a:ext>
            </a:extLst>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ln w="28575" cap="rnd">
            <a:solidFill>
              <a:schemeClr val="accent4">
                <a:lumMod val="60000"/>
                <a:lumOff val="40000"/>
              </a:schemeClr>
            </a:solidFill>
            <a:prstDash val="sysDash"/>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ln w="28575" cap="rnd">
            <a:solidFill>
              <a:srgbClr val="FF0000"/>
            </a:solidFill>
            <a:prstDash val="sysDash"/>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rgbClr val="00B0F0"/>
          </a:solidFill>
          <a:ln>
            <a:solidFill>
              <a:srgbClr val="002060"/>
            </a:solidFill>
          </a:ln>
          <a:effectLst/>
        </c:spPr>
      </c:pivotFmt>
      <c:pivotFmt>
        <c:idx val="13"/>
        <c:spPr>
          <a:solidFill>
            <a:schemeClr val="accent2">
              <a:lumMod val="75000"/>
            </a:schemeClr>
          </a:solidFill>
          <a:ln>
            <a:solidFill>
              <a:srgbClr val="002060"/>
            </a:solidFill>
          </a:ln>
          <a:effectLst/>
        </c:spPr>
      </c:pivotFmt>
      <c:pivotFmt>
        <c:idx val="14"/>
        <c:spPr>
          <a:solidFill>
            <a:srgbClr val="FFC000"/>
          </a:solidFill>
          <a:ln>
            <a:solidFill>
              <a:srgbClr val="002060"/>
            </a:solidFill>
          </a:ln>
          <a:effectLst/>
        </c:spPr>
      </c:pivotFmt>
      <c:pivotFmt>
        <c:idx val="15"/>
        <c:spPr>
          <a:solidFill>
            <a:srgbClr val="92D050"/>
          </a:solidFill>
          <a:ln>
            <a:solidFill>
              <a:srgbClr val="002060"/>
            </a:solidFill>
          </a:ln>
          <a:effectLst/>
        </c:spPr>
      </c:pivotFmt>
      <c:pivotFmt>
        <c:idx val="16"/>
        <c:spPr>
          <a:solidFill>
            <a:schemeClr val="accent2">
              <a:lumMod val="60000"/>
              <a:lumOff val="40000"/>
            </a:schemeClr>
          </a:solidFill>
          <a:ln>
            <a:solidFill>
              <a:srgbClr val="002060"/>
            </a:solidFill>
          </a:ln>
          <a:effectLst/>
        </c:spPr>
        <c:dLbl>
          <c:idx val="0"/>
          <c:layout>
            <c:manualLayout>
              <c:x val="0"/>
              <c:y val="-3.7073810819203523E-2"/>
            </c:manualLayout>
          </c:layout>
          <c:numFmt formatCode="0.0%" sourceLinked="0"/>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accent1">
                      <a:lumMod val="75000"/>
                    </a:schemeClr>
                  </a:solidFill>
                  <a:latin typeface="Arial Narrow" panose="020B0606020202030204" pitchFamily="34" charset="0"/>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7"/>
        <c:spPr>
          <a:solidFill>
            <a:schemeClr val="accent1">
              <a:lumMod val="75000"/>
            </a:schemeClr>
          </a:solidFill>
          <a:ln>
            <a:solidFill>
              <a:srgbClr val="002060"/>
            </a:solidFill>
          </a:ln>
          <a:effectLst/>
        </c:spPr>
      </c:pivotFmt>
      <c:pivotFmt>
        <c:idx val="18"/>
        <c:spPr>
          <a:solidFill>
            <a:schemeClr val="accent4">
              <a:lumMod val="40000"/>
              <a:lumOff val="60000"/>
            </a:schemeClr>
          </a:solidFill>
          <a:ln>
            <a:solidFill>
              <a:srgbClr val="002060"/>
            </a:solidFill>
          </a:ln>
          <a:effectLst/>
        </c:spPr>
      </c:pivotFmt>
      <c:pivotFmt>
        <c:idx val="19"/>
        <c:spPr>
          <a:solidFill>
            <a:schemeClr val="bg2">
              <a:lumMod val="50000"/>
            </a:schemeClr>
          </a:solidFill>
          <a:ln>
            <a:solidFill>
              <a:srgbClr val="002060"/>
            </a:solidFill>
          </a:ln>
          <a:effectLst/>
        </c:spPr>
      </c:pivotFmt>
      <c:pivotFmt>
        <c:idx val="20"/>
        <c:spPr>
          <a:solidFill>
            <a:srgbClr val="C00000"/>
          </a:solidFill>
          <a:ln>
            <a:solidFill>
              <a:srgbClr val="002060"/>
            </a:solidFill>
          </a:ln>
          <a:effectLst/>
        </c:spPr>
      </c:pivotFmt>
      <c:pivotFmt>
        <c:idx val="21"/>
        <c:spPr>
          <a:solidFill>
            <a:schemeClr val="accent5">
              <a:lumMod val="75000"/>
            </a:schemeClr>
          </a:solidFill>
          <a:ln>
            <a:solidFill>
              <a:srgbClr val="002060"/>
            </a:solidFill>
          </a:ln>
          <a:effectLst/>
        </c:spPr>
      </c:pivotFmt>
      <c:pivotFmt>
        <c:idx val="22"/>
        <c:spPr>
          <a:solidFill>
            <a:schemeClr val="accent6">
              <a:lumMod val="75000"/>
            </a:schemeClr>
          </a:solidFill>
          <a:ln>
            <a:solidFill>
              <a:srgbClr val="002060"/>
            </a:solidFill>
          </a:ln>
          <a:effectLst/>
        </c:spPr>
      </c:pivotFmt>
      <c:pivotFmt>
        <c:idx val="23"/>
        <c:spPr>
          <a:solidFill>
            <a:schemeClr val="accent1">
              <a:lumMod val="75000"/>
            </a:schemeClr>
          </a:solidFill>
          <a:ln>
            <a:solidFill>
              <a:srgbClr val="002060"/>
            </a:solidFill>
          </a:ln>
          <a:effectLst/>
        </c:spPr>
      </c:pivotFmt>
    </c:pivotFmts>
    <c:plotArea>
      <c:layout/>
      <c:barChart>
        <c:barDir val="col"/>
        <c:grouping val="clustered"/>
        <c:varyColors val="0"/>
        <c:ser>
          <c:idx val="0"/>
          <c:order val="0"/>
          <c:tx>
            <c:strRef>
              <c:f>'CALCULATION-NGẮN'!$B$37</c:f>
              <c:strCache>
                <c:ptCount val="1"/>
                <c:pt idx="0">
                  <c:v>Average of KPI- ngắn</c:v>
                </c:pt>
              </c:strCache>
            </c:strRef>
          </c:tx>
          <c:spPr>
            <a:solidFill>
              <a:schemeClr val="accent1">
                <a:lumMod val="60000"/>
                <a:lumOff val="40000"/>
              </a:schemeClr>
            </a:solidFill>
            <a:ln>
              <a:solidFill>
                <a:srgbClr val="002060"/>
              </a:solidFill>
            </a:ln>
            <a:effectLst/>
          </c:spPr>
          <c:invertIfNegative val="0"/>
          <c:dPt>
            <c:idx val="0"/>
            <c:invertIfNegative val="0"/>
            <c:bubble3D val="0"/>
            <c:spPr>
              <a:solidFill>
                <a:schemeClr val="accent2">
                  <a:lumMod val="60000"/>
                  <a:lumOff val="40000"/>
                </a:schemeClr>
              </a:solidFill>
              <a:ln>
                <a:solidFill>
                  <a:srgbClr val="002060"/>
                </a:solidFill>
              </a:ln>
              <a:effectLst/>
            </c:spPr>
            <c:extLst>
              <c:ext xmlns:c16="http://schemas.microsoft.com/office/drawing/2014/chart" uri="{C3380CC4-5D6E-409C-BE32-E72D297353CC}">
                <c16:uniqueId val="{00000000-9F82-4357-BA0A-01D08D811CBB}"/>
              </c:ext>
            </c:extLst>
          </c:dPt>
          <c:dPt>
            <c:idx val="2"/>
            <c:invertIfNegative val="0"/>
            <c:bubble3D val="0"/>
            <c:spPr>
              <a:solidFill>
                <a:schemeClr val="accent1">
                  <a:lumMod val="75000"/>
                </a:schemeClr>
              </a:solidFill>
              <a:ln>
                <a:solidFill>
                  <a:srgbClr val="002060"/>
                </a:solidFill>
              </a:ln>
              <a:effectLst/>
            </c:spPr>
            <c:extLst>
              <c:ext xmlns:c16="http://schemas.microsoft.com/office/drawing/2014/chart" uri="{C3380CC4-5D6E-409C-BE32-E72D297353CC}">
                <c16:uniqueId val="{00000002-9F82-4357-BA0A-01D08D811CBB}"/>
              </c:ext>
            </c:extLst>
          </c:dPt>
          <c:dPt>
            <c:idx val="3"/>
            <c:invertIfNegative val="0"/>
            <c:bubble3D val="0"/>
            <c:spPr>
              <a:solidFill>
                <a:schemeClr val="accent4">
                  <a:lumMod val="40000"/>
                  <a:lumOff val="60000"/>
                </a:schemeClr>
              </a:solidFill>
              <a:ln>
                <a:solidFill>
                  <a:srgbClr val="002060"/>
                </a:solidFill>
              </a:ln>
              <a:effectLst/>
            </c:spPr>
            <c:extLst>
              <c:ext xmlns:c16="http://schemas.microsoft.com/office/drawing/2014/chart" uri="{C3380CC4-5D6E-409C-BE32-E72D297353CC}">
                <c16:uniqueId val="{00000004-9F82-4357-BA0A-01D08D811CBB}"/>
              </c:ext>
            </c:extLst>
          </c:dPt>
          <c:dPt>
            <c:idx val="5"/>
            <c:invertIfNegative val="0"/>
            <c:bubble3D val="0"/>
            <c:spPr>
              <a:solidFill>
                <a:srgbClr val="00B0F0"/>
              </a:solidFill>
              <a:ln>
                <a:solidFill>
                  <a:srgbClr val="002060"/>
                </a:solidFill>
              </a:ln>
              <a:effectLst/>
            </c:spPr>
            <c:extLst>
              <c:ext xmlns:c16="http://schemas.microsoft.com/office/drawing/2014/chart" uri="{C3380CC4-5D6E-409C-BE32-E72D297353CC}">
                <c16:uniqueId val="{00000007-B523-4BF2-A288-31AD7150CE1B}"/>
              </c:ext>
            </c:extLst>
          </c:dPt>
          <c:dPt>
            <c:idx val="7"/>
            <c:invertIfNegative val="0"/>
            <c:bubble3D val="0"/>
            <c:spPr>
              <a:solidFill>
                <a:schemeClr val="bg2">
                  <a:lumMod val="50000"/>
                </a:schemeClr>
              </a:solidFill>
              <a:ln>
                <a:solidFill>
                  <a:srgbClr val="002060"/>
                </a:solidFill>
              </a:ln>
              <a:effectLst/>
            </c:spPr>
            <c:extLst>
              <c:ext xmlns:c16="http://schemas.microsoft.com/office/drawing/2014/chart" uri="{C3380CC4-5D6E-409C-BE32-E72D297353CC}">
                <c16:uniqueId val="{00000005-9F82-4357-BA0A-01D08D811CBB}"/>
              </c:ext>
            </c:extLst>
          </c:dPt>
          <c:dPt>
            <c:idx val="9"/>
            <c:invertIfNegative val="0"/>
            <c:bubble3D val="0"/>
            <c:spPr>
              <a:solidFill>
                <a:srgbClr val="C00000"/>
              </a:solidFill>
              <a:ln>
                <a:solidFill>
                  <a:srgbClr val="002060"/>
                </a:solidFill>
              </a:ln>
              <a:effectLst/>
            </c:spPr>
            <c:extLst>
              <c:ext xmlns:c16="http://schemas.microsoft.com/office/drawing/2014/chart" uri="{C3380CC4-5D6E-409C-BE32-E72D297353CC}">
                <c16:uniqueId val="{00000006-9F82-4357-BA0A-01D08D811CBB}"/>
              </c:ext>
            </c:extLst>
          </c:dPt>
          <c:dPt>
            <c:idx val="10"/>
            <c:invertIfNegative val="0"/>
            <c:bubble3D val="0"/>
            <c:spPr>
              <a:solidFill>
                <a:schemeClr val="accent5">
                  <a:lumMod val="75000"/>
                </a:schemeClr>
              </a:solidFill>
              <a:ln>
                <a:solidFill>
                  <a:srgbClr val="002060"/>
                </a:solidFill>
              </a:ln>
              <a:effectLst/>
            </c:spPr>
            <c:extLst>
              <c:ext xmlns:c16="http://schemas.microsoft.com/office/drawing/2014/chart" uri="{C3380CC4-5D6E-409C-BE32-E72D297353CC}">
                <c16:uniqueId val="{00000007-9F82-4357-BA0A-01D08D811CBB}"/>
              </c:ext>
            </c:extLst>
          </c:dPt>
          <c:dPt>
            <c:idx val="11"/>
            <c:invertIfNegative val="0"/>
            <c:bubble3D val="0"/>
            <c:spPr>
              <a:solidFill>
                <a:schemeClr val="accent6">
                  <a:lumMod val="75000"/>
                </a:schemeClr>
              </a:solidFill>
              <a:ln>
                <a:solidFill>
                  <a:srgbClr val="002060"/>
                </a:solidFill>
              </a:ln>
              <a:effectLst/>
            </c:spPr>
            <c:extLst>
              <c:ext xmlns:c16="http://schemas.microsoft.com/office/drawing/2014/chart" uri="{C3380CC4-5D6E-409C-BE32-E72D297353CC}">
                <c16:uniqueId val="{00000008-9F82-4357-BA0A-01D08D811CBB}"/>
              </c:ext>
            </c:extLst>
          </c:dPt>
          <c:dPt>
            <c:idx val="12"/>
            <c:invertIfNegative val="0"/>
            <c:bubble3D val="0"/>
            <c:spPr>
              <a:solidFill>
                <a:schemeClr val="accent2">
                  <a:lumMod val="75000"/>
                </a:schemeClr>
              </a:solidFill>
              <a:ln>
                <a:solidFill>
                  <a:srgbClr val="002060"/>
                </a:solidFill>
              </a:ln>
              <a:effectLst/>
            </c:spPr>
            <c:extLst>
              <c:ext xmlns:c16="http://schemas.microsoft.com/office/drawing/2014/chart" uri="{C3380CC4-5D6E-409C-BE32-E72D297353CC}">
                <c16:uniqueId val="{00000011-B523-4BF2-A288-31AD7150CE1B}"/>
              </c:ext>
            </c:extLst>
          </c:dPt>
          <c:dPt>
            <c:idx val="13"/>
            <c:invertIfNegative val="0"/>
            <c:bubble3D val="0"/>
            <c:spPr>
              <a:solidFill>
                <a:srgbClr val="FFC000"/>
              </a:solidFill>
              <a:ln>
                <a:solidFill>
                  <a:srgbClr val="002060"/>
                </a:solidFill>
              </a:ln>
              <a:effectLst/>
            </c:spPr>
            <c:extLst>
              <c:ext xmlns:c16="http://schemas.microsoft.com/office/drawing/2014/chart" uri="{C3380CC4-5D6E-409C-BE32-E72D297353CC}">
                <c16:uniqueId val="{00000013-B523-4BF2-A288-31AD7150CE1B}"/>
              </c:ext>
            </c:extLst>
          </c:dPt>
          <c:dPt>
            <c:idx val="14"/>
            <c:invertIfNegative val="0"/>
            <c:bubble3D val="0"/>
            <c:spPr>
              <a:solidFill>
                <a:schemeClr val="accent1">
                  <a:lumMod val="75000"/>
                </a:schemeClr>
              </a:solidFill>
              <a:ln>
                <a:solidFill>
                  <a:srgbClr val="002060"/>
                </a:solidFill>
              </a:ln>
              <a:effectLst/>
            </c:spPr>
            <c:extLst>
              <c:ext xmlns:c16="http://schemas.microsoft.com/office/drawing/2014/chart" uri="{C3380CC4-5D6E-409C-BE32-E72D297353CC}">
                <c16:uniqueId val="{00000009-9F82-4357-BA0A-01D08D811CBB}"/>
              </c:ext>
            </c:extLst>
          </c:dPt>
          <c:dPt>
            <c:idx val="15"/>
            <c:invertIfNegative val="0"/>
            <c:bubble3D val="0"/>
            <c:spPr>
              <a:solidFill>
                <a:srgbClr val="92D050"/>
              </a:solidFill>
              <a:ln>
                <a:solidFill>
                  <a:srgbClr val="002060"/>
                </a:solidFill>
              </a:ln>
              <a:effectLst/>
            </c:spPr>
            <c:extLst>
              <c:ext xmlns:c16="http://schemas.microsoft.com/office/drawing/2014/chart" uri="{C3380CC4-5D6E-409C-BE32-E72D297353CC}">
                <c16:uniqueId val="{00000017-B523-4BF2-A288-31AD7150CE1B}"/>
              </c:ext>
            </c:extLst>
          </c:dPt>
          <c:dLbls>
            <c:dLbl>
              <c:idx val="0"/>
              <c:layout>
                <c:manualLayout>
                  <c:x val="0"/>
                  <c:y val="-3.7073810819203523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9F82-4357-BA0A-01D08D811CBB}"/>
                </c:ext>
              </c:extLst>
            </c:dLbl>
            <c:numFmt formatCode="0.0%" sourceLinked="0"/>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accent1">
                        <a:lumMod val="75000"/>
                      </a:schemeClr>
                    </a:solidFill>
                    <a:latin typeface="Arial Narrow" panose="020B0606020202030204" pitchFamily="34" charset="0"/>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'CALCULATION-NGẮN'!$A$38:$A$54</c:f>
              <c:strCache>
                <c:ptCount val="16"/>
                <c:pt idx="0">
                  <c:v>ANH MINH</c:v>
                </c:pt>
                <c:pt idx="1">
                  <c:v>CITY</c:v>
                </c:pt>
                <c:pt idx="2">
                  <c:v>GHP</c:v>
                </c:pt>
                <c:pt idx="3">
                  <c:v>HOI TU</c:v>
                </c:pt>
                <c:pt idx="4">
                  <c:v>KHANG THINH</c:v>
                </c:pt>
                <c:pt idx="5">
                  <c:v>LOGITEM</c:v>
                </c:pt>
                <c:pt idx="6">
                  <c:v>NHAT PHONG VAN</c:v>
                </c:pt>
                <c:pt idx="7">
                  <c:v>NHAT QUANG</c:v>
                </c:pt>
                <c:pt idx="8">
                  <c:v>NHAT TIN</c:v>
                </c:pt>
                <c:pt idx="9">
                  <c:v>NHUT LIEN</c:v>
                </c:pt>
                <c:pt idx="10">
                  <c:v>PHUONG ANH</c:v>
                </c:pt>
                <c:pt idx="11">
                  <c:v>PHUONG DUC</c:v>
                </c:pt>
                <c:pt idx="12">
                  <c:v>SPNL</c:v>
                </c:pt>
                <c:pt idx="13">
                  <c:v>THUAN THANH TIN</c:v>
                </c:pt>
                <c:pt idx="14">
                  <c:v>THUY ANH</c:v>
                </c:pt>
                <c:pt idx="15">
                  <c:v>VINAFCO</c:v>
                </c:pt>
              </c:strCache>
            </c:strRef>
          </c:cat>
          <c:val>
            <c:numRef>
              <c:f>'CALCULATION-NGẮN'!$B$38:$B$54</c:f>
              <c:numCache>
                <c:formatCode>0%</c:formatCode>
                <c:ptCount val="16"/>
                <c:pt idx="0">
                  <c:v>0.95166666666666666</c:v>
                </c:pt>
                <c:pt idx="1">
                  <c:v>0.94233333333333336</c:v>
                </c:pt>
                <c:pt idx="2">
                  <c:v>0.94300000000000006</c:v>
                </c:pt>
                <c:pt idx="3">
                  <c:v>0.95966666666666667</c:v>
                </c:pt>
                <c:pt idx="4">
                  <c:v>0.92733333333333334</c:v>
                </c:pt>
                <c:pt idx="5">
                  <c:v>0.95109999999999995</c:v>
                </c:pt>
                <c:pt idx="6">
                  <c:v>0.91966666666666663</c:v>
                </c:pt>
                <c:pt idx="7">
                  <c:v>0.97066666666666668</c:v>
                </c:pt>
                <c:pt idx="8">
                  <c:v>0.96299999999999997</c:v>
                </c:pt>
                <c:pt idx="9">
                  <c:v>0.94666666666666666</c:v>
                </c:pt>
                <c:pt idx="10">
                  <c:v>0.96333333333333337</c:v>
                </c:pt>
                <c:pt idx="11">
                  <c:v>0.95500000000000007</c:v>
                </c:pt>
                <c:pt idx="12">
                  <c:v>0.96133333333333326</c:v>
                </c:pt>
                <c:pt idx="13">
                  <c:v>0.96040000000000003</c:v>
                </c:pt>
                <c:pt idx="14">
                  <c:v>0.96600000000000008</c:v>
                </c:pt>
                <c:pt idx="15">
                  <c:v>0.95583333333333342</c:v>
                </c:pt>
              </c:numCache>
            </c:numRef>
          </c:val>
          <c:extLst>
            <c:ext xmlns:c16="http://schemas.microsoft.com/office/drawing/2014/chart" uri="{C3380CC4-5D6E-409C-BE32-E72D297353CC}">
              <c16:uniqueId val="{00000000-84CF-426E-9BA2-72E3684A199F}"/>
            </c:ext>
          </c:extLst>
        </c:ser>
        <c:dLbls>
          <c:showLegendKey val="0"/>
          <c:showVal val="0"/>
          <c:showCatName val="0"/>
          <c:showSerName val="0"/>
          <c:showPercent val="0"/>
          <c:showBubbleSize val="0"/>
        </c:dLbls>
        <c:gapWidth val="219"/>
        <c:axId val="2064253343"/>
        <c:axId val="2064250463"/>
      </c:barChart>
      <c:lineChart>
        <c:grouping val="standard"/>
        <c:varyColors val="0"/>
        <c:ser>
          <c:idx val="1"/>
          <c:order val="1"/>
          <c:tx>
            <c:strRef>
              <c:f>'CALCULATION-NGẮN'!$C$37</c:f>
              <c:strCache>
                <c:ptCount val="1"/>
                <c:pt idx="0">
                  <c:v>Excellent</c:v>
                </c:pt>
              </c:strCache>
            </c:strRef>
          </c:tx>
          <c:spPr>
            <a:ln w="28575" cap="rnd">
              <a:solidFill>
                <a:srgbClr val="00B050"/>
              </a:solidFill>
              <a:prstDash val="sysDash"/>
              <a:round/>
              <a:extLst>
                <a:ext uri="{C807C97D-BFC1-408E-A445-0C87EB9F89A2}">
                  <ask:lineSketchStyleProps xmlns:ask="http://schemas.microsoft.com/office/drawing/2018/sketchyshapes">
                    <ask:type>
                      <ask:lineSketchNone/>
                    </ask:type>
                  </ask:lineSketchStyleProps>
                </a:ext>
              </a:extLst>
            </a:ln>
            <a:effectLst/>
          </c:spPr>
          <c:marker>
            <c:symbol val="none"/>
          </c:marker>
          <c:cat>
            <c:strRef>
              <c:f>'CALCULATION-NGẮN'!$A$38:$A$54</c:f>
              <c:strCache>
                <c:ptCount val="16"/>
                <c:pt idx="0">
                  <c:v>ANH MINH</c:v>
                </c:pt>
                <c:pt idx="1">
                  <c:v>CITY</c:v>
                </c:pt>
                <c:pt idx="2">
                  <c:v>GHP</c:v>
                </c:pt>
                <c:pt idx="3">
                  <c:v>HOI TU</c:v>
                </c:pt>
                <c:pt idx="4">
                  <c:v>KHANG THINH</c:v>
                </c:pt>
                <c:pt idx="5">
                  <c:v>LOGITEM</c:v>
                </c:pt>
                <c:pt idx="6">
                  <c:v>NHAT PHONG VAN</c:v>
                </c:pt>
                <c:pt idx="7">
                  <c:v>NHAT QUANG</c:v>
                </c:pt>
                <c:pt idx="8">
                  <c:v>NHAT TIN</c:v>
                </c:pt>
                <c:pt idx="9">
                  <c:v>NHUT LIEN</c:v>
                </c:pt>
                <c:pt idx="10">
                  <c:v>PHUONG ANH</c:v>
                </c:pt>
                <c:pt idx="11">
                  <c:v>PHUONG DUC</c:v>
                </c:pt>
                <c:pt idx="12">
                  <c:v>SPNL</c:v>
                </c:pt>
                <c:pt idx="13">
                  <c:v>THUAN THANH TIN</c:v>
                </c:pt>
                <c:pt idx="14">
                  <c:v>THUY ANH</c:v>
                </c:pt>
                <c:pt idx="15">
                  <c:v>VINAFCO</c:v>
                </c:pt>
              </c:strCache>
            </c:strRef>
          </c:cat>
          <c:val>
            <c:numRef>
              <c:f>'CALCULATION-NGẮN'!$C$38:$C$54</c:f>
              <c:numCache>
                <c:formatCode>0%</c:formatCode>
                <c:ptCount val="16"/>
                <c:pt idx="0">
                  <c:v>0.95</c:v>
                </c:pt>
                <c:pt idx="1">
                  <c:v>0.95</c:v>
                </c:pt>
                <c:pt idx="2">
                  <c:v>0.95</c:v>
                </c:pt>
                <c:pt idx="3">
                  <c:v>0.95</c:v>
                </c:pt>
                <c:pt idx="4">
                  <c:v>0.95</c:v>
                </c:pt>
                <c:pt idx="5">
                  <c:v>0.95</c:v>
                </c:pt>
                <c:pt idx="6">
                  <c:v>0.95</c:v>
                </c:pt>
                <c:pt idx="7">
                  <c:v>0.95</c:v>
                </c:pt>
                <c:pt idx="8">
                  <c:v>0.95</c:v>
                </c:pt>
                <c:pt idx="9">
                  <c:v>0.95</c:v>
                </c:pt>
                <c:pt idx="10">
                  <c:v>0.95</c:v>
                </c:pt>
                <c:pt idx="11">
                  <c:v>0.95</c:v>
                </c:pt>
                <c:pt idx="12">
                  <c:v>0.95</c:v>
                </c:pt>
                <c:pt idx="13">
                  <c:v>0.95</c:v>
                </c:pt>
                <c:pt idx="14">
                  <c:v>0.95</c:v>
                </c:pt>
                <c:pt idx="15">
                  <c:v>0.95</c:v>
                </c:pt>
              </c:numCache>
            </c:numRef>
          </c:val>
          <c:smooth val="0"/>
          <c:extLst>
            <c:ext xmlns:c16="http://schemas.microsoft.com/office/drawing/2014/chart" uri="{C3380CC4-5D6E-409C-BE32-E72D297353CC}">
              <c16:uniqueId val="{00000001-84CF-426E-9BA2-72E3684A199F}"/>
            </c:ext>
          </c:extLst>
        </c:ser>
        <c:ser>
          <c:idx val="2"/>
          <c:order val="2"/>
          <c:tx>
            <c:strRef>
              <c:f>'CALCULATION-NGẮN'!$D$37</c:f>
              <c:strCache>
                <c:ptCount val="1"/>
                <c:pt idx="0">
                  <c:v>Good.</c:v>
                </c:pt>
              </c:strCache>
            </c:strRef>
          </c:tx>
          <c:spPr>
            <a:ln w="28575" cap="rnd">
              <a:solidFill>
                <a:schemeClr val="accent4">
                  <a:lumMod val="60000"/>
                  <a:lumOff val="40000"/>
                </a:schemeClr>
              </a:solidFill>
              <a:prstDash val="sysDash"/>
              <a:round/>
            </a:ln>
            <a:effectLst/>
          </c:spPr>
          <c:marker>
            <c:symbol val="none"/>
          </c:marker>
          <c:cat>
            <c:strRef>
              <c:f>'CALCULATION-NGẮN'!$A$38:$A$54</c:f>
              <c:strCache>
                <c:ptCount val="16"/>
                <c:pt idx="0">
                  <c:v>ANH MINH</c:v>
                </c:pt>
                <c:pt idx="1">
                  <c:v>CITY</c:v>
                </c:pt>
                <c:pt idx="2">
                  <c:v>GHP</c:v>
                </c:pt>
                <c:pt idx="3">
                  <c:v>HOI TU</c:v>
                </c:pt>
                <c:pt idx="4">
                  <c:v>KHANG THINH</c:v>
                </c:pt>
                <c:pt idx="5">
                  <c:v>LOGITEM</c:v>
                </c:pt>
                <c:pt idx="6">
                  <c:v>NHAT PHONG VAN</c:v>
                </c:pt>
                <c:pt idx="7">
                  <c:v>NHAT QUANG</c:v>
                </c:pt>
                <c:pt idx="8">
                  <c:v>NHAT TIN</c:v>
                </c:pt>
                <c:pt idx="9">
                  <c:v>NHUT LIEN</c:v>
                </c:pt>
                <c:pt idx="10">
                  <c:v>PHUONG ANH</c:v>
                </c:pt>
                <c:pt idx="11">
                  <c:v>PHUONG DUC</c:v>
                </c:pt>
                <c:pt idx="12">
                  <c:v>SPNL</c:v>
                </c:pt>
                <c:pt idx="13">
                  <c:v>THUAN THANH TIN</c:v>
                </c:pt>
                <c:pt idx="14">
                  <c:v>THUY ANH</c:v>
                </c:pt>
                <c:pt idx="15">
                  <c:v>VINAFCO</c:v>
                </c:pt>
              </c:strCache>
            </c:strRef>
          </c:cat>
          <c:val>
            <c:numRef>
              <c:f>'CALCULATION-NGẮN'!$D$38:$D$54</c:f>
              <c:numCache>
                <c:formatCode>0%</c:formatCode>
                <c:ptCount val="16"/>
                <c:pt idx="0">
                  <c:v>0.9</c:v>
                </c:pt>
                <c:pt idx="1">
                  <c:v>0.9</c:v>
                </c:pt>
                <c:pt idx="2">
                  <c:v>0.9</c:v>
                </c:pt>
                <c:pt idx="3">
                  <c:v>0.9</c:v>
                </c:pt>
                <c:pt idx="4">
                  <c:v>0.9</c:v>
                </c:pt>
                <c:pt idx="5">
                  <c:v>0.9</c:v>
                </c:pt>
                <c:pt idx="6">
                  <c:v>0.9</c:v>
                </c:pt>
                <c:pt idx="7">
                  <c:v>0.9</c:v>
                </c:pt>
                <c:pt idx="8">
                  <c:v>0.9</c:v>
                </c:pt>
                <c:pt idx="9">
                  <c:v>0.9</c:v>
                </c:pt>
                <c:pt idx="10">
                  <c:v>0.9</c:v>
                </c:pt>
                <c:pt idx="11">
                  <c:v>0.9</c:v>
                </c:pt>
                <c:pt idx="12">
                  <c:v>0.9</c:v>
                </c:pt>
                <c:pt idx="13">
                  <c:v>0.9</c:v>
                </c:pt>
                <c:pt idx="14">
                  <c:v>0.9</c:v>
                </c:pt>
                <c:pt idx="15">
                  <c:v>0.9</c:v>
                </c:pt>
              </c:numCache>
            </c:numRef>
          </c:val>
          <c:smooth val="0"/>
          <c:extLst>
            <c:ext xmlns:c16="http://schemas.microsoft.com/office/drawing/2014/chart" uri="{C3380CC4-5D6E-409C-BE32-E72D297353CC}">
              <c16:uniqueId val="{00000002-84CF-426E-9BA2-72E3684A199F}"/>
            </c:ext>
          </c:extLst>
        </c:ser>
        <c:ser>
          <c:idx val="3"/>
          <c:order val="3"/>
          <c:tx>
            <c:strRef>
              <c:f>'CALCULATION-NGẮN'!$E$37</c:f>
              <c:strCache>
                <c:ptCount val="1"/>
                <c:pt idx="0">
                  <c:v>Need to improve</c:v>
                </c:pt>
              </c:strCache>
            </c:strRef>
          </c:tx>
          <c:spPr>
            <a:ln w="28575" cap="rnd">
              <a:solidFill>
                <a:srgbClr val="FF0000"/>
              </a:solidFill>
              <a:prstDash val="sysDash"/>
              <a:round/>
            </a:ln>
            <a:effectLst/>
          </c:spPr>
          <c:marker>
            <c:symbol val="none"/>
          </c:marker>
          <c:cat>
            <c:strRef>
              <c:f>'CALCULATION-NGẮN'!$A$38:$A$54</c:f>
              <c:strCache>
                <c:ptCount val="16"/>
                <c:pt idx="0">
                  <c:v>ANH MINH</c:v>
                </c:pt>
                <c:pt idx="1">
                  <c:v>CITY</c:v>
                </c:pt>
                <c:pt idx="2">
                  <c:v>GHP</c:v>
                </c:pt>
                <c:pt idx="3">
                  <c:v>HOI TU</c:v>
                </c:pt>
                <c:pt idx="4">
                  <c:v>KHANG THINH</c:v>
                </c:pt>
                <c:pt idx="5">
                  <c:v>LOGITEM</c:v>
                </c:pt>
                <c:pt idx="6">
                  <c:v>NHAT PHONG VAN</c:v>
                </c:pt>
                <c:pt idx="7">
                  <c:v>NHAT QUANG</c:v>
                </c:pt>
                <c:pt idx="8">
                  <c:v>NHAT TIN</c:v>
                </c:pt>
                <c:pt idx="9">
                  <c:v>NHUT LIEN</c:v>
                </c:pt>
                <c:pt idx="10">
                  <c:v>PHUONG ANH</c:v>
                </c:pt>
                <c:pt idx="11">
                  <c:v>PHUONG DUC</c:v>
                </c:pt>
                <c:pt idx="12">
                  <c:v>SPNL</c:v>
                </c:pt>
                <c:pt idx="13">
                  <c:v>THUAN THANH TIN</c:v>
                </c:pt>
                <c:pt idx="14">
                  <c:v>THUY ANH</c:v>
                </c:pt>
                <c:pt idx="15">
                  <c:v>VINAFCO</c:v>
                </c:pt>
              </c:strCache>
            </c:strRef>
          </c:cat>
          <c:val>
            <c:numRef>
              <c:f>'CALCULATION-NGẮN'!$E$38:$E$54</c:f>
              <c:numCache>
                <c:formatCode>0%</c:formatCode>
                <c:ptCount val="16"/>
                <c:pt idx="0">
                  <c:v>0.85</c:v>
                </c:pt>
                <c:pt idx="1">
                  <c:v>0.85</c:v>
                </c:pt>
                <c:pt idx="2">
                  <c:v>0.85</c:v>
                </c:pt>
                <c:pt idx="3">
                  <c:v>0.85</c:v>
                </c:pt>
                <c:pt idx="4">
                  <c:v>0.85</c:v>
                </c:pt>
                <c:pt idx="5">
                  <c:v>0.85</c:v>
                </c:pt>
                <c:pt idx="6">
                  <c:v>0.85</c:v>
                </c:pt>
                <c:pt idx="7">
                  <c:v>0.85</c:v>
                </c:pt>
                <c:pt idx="8">
                  <c:v>0.85</c:v>
                </c:pt>
                <c:pt idx="9">
                  <c:v>0.85</c:v>
                </c:pt>
                <c:pt idx="10">
                  <c:v>0.85</c:v>
                </c:pt>
                <c:pt idx="11">
                  <c:v>0.85</c:v>
                </c:pt>
                <c:pt idx="12">
                  <c:v>0.85</c:v>
                </c:pt>
                <c:pt idx="13">
                  <c:v>0.85</c:v>
                </c:pt>
                <c:pt idx="14">
                  <c:v>0.85</c:v>
                </c:pt>
                <c:pt idx="15">
                  <c:v>0.85</c:v>
                </c:pt>
              </c:numCache>
            </c:numRef>
          </c:val>
          <c:smooth val="0"/>
          <c:extLst>
            <c:ext xmlns:c16="http://schemas.microsoft.com/office/drawing/2014/chart" uri="{C3380CC4-5D6E-409C-BE32-E72D297353CC}">
              <c16:uniqueId val="{00000003-84CF-426E-9BA2-72E3684A199F}"/>
            </c:ext>
          </c:extLst>
        </c:ser>
        <c:dLbls>
          <c:showLegendKey val="0"/>
          <c:showVal val="0"/>
          <c:showCatName val="0"/>
          <c:showSerName val="0"/>
          <c:showPercent val="0"/>
          <c:showBubbleSize val="0"/>
        </c:dLbls>
        <c:marker val="1"/>
        <c:smooth val="0"/>
        <c:axId val="2064253343"/>
        <c:axId val="2064250463"/>
      </c:lineChart>
      <c:catAx>
        <c:axId val="2064253343"/>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1" i="0" u="none" strike="noStrike" kern="1200" baseline="0">
                <a:solidFill>
                  <a:schemeClr val="accent5">
                    <a:lumMod val="50000"/>
                  </a:schemeClr>
                </a:solidFill>
                <a:latin typeface="Arial Narrow" panose="020B0606020202030204" pitchFamily="34" charset="0"/>
                <a:ea typeface="+mn-ea"/>
                <a:cs typeface="+mn-cs"/>
              </a:defRPr>
            </a:pPr>
            <a:endParaRPr lang="en-US"/>
          </a:p>
        </c:txPr>
        <c:crossAx val="2064250463"/>
        <c:crosses val="autoZero"/>
        <c:auto val="1"/>
        <c:lblAlgn val="ctr"/>
        <c:lblOffset val="100"/>
        <c:noMultiLvlLbl val="0"/>
      </c:catAx>
      <c:valAx>
        <c:axId val="2064250463"/>
        <c:scaling>
          <c:orientation val="minMax"/>
          <c:min val="0.82000000000000006"/>
        </c:scaling>
        <c:delete val="1"/>
        <c:axPos val="l"/>
        <c:numFmt formatCode="0%" sourceLinked="1"/>
        <c:majorTickMark val="none"/>
        <c:minorTickMark val="none"/>
        <c:tickLblPos val="nextTo"/>
        <c:crossAx val="2064253343"/>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accent6">
        <a:lumMod val="20000"/>
        <a:lumOff val="80000"/>
      </a:schemeClr>
    </a:solidFill>
    <a:ln w="25400" cap="flat" cmpd="sng" algn="ctr">
      <a:solidFill>
        <a:schemeClr val="accent6">
          <a:lumMod val="75000"/>
        </a:schemeClr>
      </a:solidFill>
      <a:prstDash val="lgDash"/>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7"/>
    </mc:Choice>
    <mc:Fallback>
      <c:style val="7"/>
    </mc:Fallback>
  </mc:AlternateContent>
  <c:pivotSource>
    <c:name>[Dashboard - DAV Transportation Cost.xlsm]CALCULATION-NGẮN!tỉ lệ.</c:name>
    <c:fmtId val="9"/>
  </c:pivotSource>
  <c:chart>
    <c:title>
      <c:tx>
        <c:rich>
          <a:bodyPr rot="0" spcFirstLastPara="1" vertOverflow="ellipsis" vert="horz" wrap="square" anchor="ctr" anchorCtr="1"/>
          <a:lstStyle/>
          <a:p>
            <a:pPr>
              <a:defRPr sz="1800" b="0" i="0" u="none" strike="noStrike" kern="1200" spc="0" baseline="0">
                <a:solidFill>
                  <a:schemeClr val="tx1">
                    <a:lumMod val="65000"/>
                    <a:lumOff val="35000"/>
                  </a:schemeClr>
                </a:solidFill>
                <a:latin typeface="UTM Bebas" panose="02040603050506020204" pitchFamily="18" charset="0"/>
                <a:ea typeface="+mn-ea"/>
                <a:cs typeface="+mn-cs"/>
              </a:defRPr>
            </a:pPr>
            <a:r>
              <a:rPr lang="en-US" sz="1800" b="0" baseline="0">
                <a:solidFill>
                  <a:schemeClr val="accent1">
                    <a:lumMod val="75000"/>
                  </a:schemeClr>
                </a:solidFill>
                <a:latin typeface="UTM Bebas" panose="02040603050506020204" pitchFamily="18" charset="0"/>
              </a:rPr>
              <a:t> RATIO USING</a:t>
            </a:r>
            <a:endParaRPr lang="en-US" sz="1800" b="0">
              <a:solidFill>
                <a:schemeClr val="accent1">
                  <a:lumMod val="75000"/>
                </a:schemeClr>
              </a:solidFill>
              <a:latin typeface="UTM Bebas" panose="02040603050506020204" pitchFamily="18" charset="0"/>
            </a:endParaRPr>
          </a:p>
        </c:rich>
      </c:tx>
      <c:layout>
        <c:manualLayout>
          <c:xMode val="edge"/>
          <c:yMode val="edge"/>
          <c:x val="0.38786167134733246"/>
          <c:y val="6.7514920507548037E-2"/>
        </c:manualLayout>
      </c:layout>
      <c:overlay val="0"/>
      <c:spPr>
        <a:noFill/>
        <a:ln>
          <a:noFill/>
        </a:ln>
        <a:effectLst/>
      </c:spPr>
      <c:txPr>
        <a:bodyPr rot="0" spcFirstLastPara="1" vertOverflow="ellipsis" vert="horz" wrap="square" anchor="ctr" anchorCtr="1"/>
        <a:lstStyle/>
        <a:p>
          <a:pPr>
            <a:defRPr sz="1800" b="0" i="0" u="none" strike="noStrike" kern="1200" spc="0" baseline="0">
              <a:solidFill>
                <a:schemeClr val="tx1">
                  <a:lumMod val="65000"/>
                  <a:lumOff val="35000"/>
                </a:schemeClr>
              </a:solidFill>
              <a:latin typeface="UTM Bebas" panose="02040603050506020204" pitchFamily="18" charset="0"/>
              <a:ea typeface="+mn-ea"/>
              <a:cs typeface="+mn-cs"/>
            </a:defRPr>
          </a:pPr>
          <a:endParaRPr lang="en-US"/>
        </a:p>
      </c:txPr>
    </c:title>
    <c:autoTitleDeleted val="0"/>
    <c:pivotFmts>
      <c:pivotFmt>
        <c:idx val="0"/>
        <c:spPr>
          <a:solidFill>
            <a:schemeClr val="accent5"/>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5"/>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5"/>
          </a:solidFill>
          <a:ln w="19050">
            <a:solidFill>
              <a:schemeClr val="lt1"/>
            </a:solidFill>
          </a:ln>
          <a:effectLst/>
        </c:spPr>
      </c:pivotFmt>
      <c:pivotFmt>
        <c:idx val="3"/>
        <c:spPr>
          <a:solidFill>
            <a:schemeClr val="accent5"/>
          </a:solidFill>
          <a:ln w="19050">
            <a:solidFill>
              <a:schemeClr val="lt1"/>
            </a:solidFill>
          </a:ln>
          <a:effectLst/>
        </c:spPr>
      </c:pivotFmt>
      <c:pivotFmt>
        <c:idx val="4"/>
        <c:spPr>
          <a:solidFill>
            <a:schemeClr val="accent5"/>
          </a:solidFill>
          <a:ln w="19050">
            <a:solidFill>
              <a:schemeClr val="lt1"/>
            </a:solidFill>
          </a:ln>
          <a:effectLst/>
        </c:spPr>
      </c:pivotFmt>
      <c:pivotFmt>
        <c:idx val="5"/>
        <c:spPr>
          <a:solidFill>
            <a:schemeClr val="accent5"/>
          </a:solidFill>
          <a:ln w="19050">
            <a:solidFill>
              <a:schemeClr val="lt1"/>
            </a:solidFill>
          </a:ln>
          <a:effectLst/>
        </c:spPr>
      </c:pivotFmt>
      <c:pivotFmt>
        <c:idx val="6"/>
        <c:spPr>
          <a:solidFill>
            <a:schemeClr val="accent5"/>
          </a:solidFill>
          <a:ln w="19050">
            <a:solidFill>
              <a:schemeClr val="lt1"/>
            </a:solidFill>
          </a:ln>
          <a:effectLst/>
        </c:spPr>
      </c:pivotFmt>
      <c:pivotFmt>
        <c:idx val="7"/>
        <c:spPr>
          <a:solidFill>
            <a:schemeClr val="accent5"/>
          </a:solidFill>
          <a:ln w="19050">
            <a:solidFill>
              <a:schemeClr val="lt1"/>
            </a:solidFill>
          </a:ln>
          <a:effectLst/>
        </c:spPr>
      </c:pivotFmt>
      <c:pivotFmt>
        <c:idx val="8"/>
        <c:spPr>
          <a:solidFill>
            <a:schemeClr val="accent5"/>
          </a:solidFill>
          <a:ln w="19050">
            <a:solidFill>
              <a:schemeClr val="lt1"/>
            </a:solidFill>
          </a:ln>
          <a:effectLst/>
        </c:spPr>
      </c:pivotFmt>
      <c:pivotFmt>
        <c:idx val="9"/>
        <c:spPr>
          <a:solidFill>
            <a:schemeClr val="accent5"/>
          </a:solidFill>
          <a:ln w="19050">
            <a:solidFill>
              <a:schemeClr val="lt1"/>
            </a:solidFill>
          </a:ln>
          <a:effectLst/>
        </c:spPr>
      </c:pivotFmt>
      <c:pivotFmt>
        <c:idx val="10"/>
        <c:spPr>
          <a:solidFill>
            <a:schemeClr val="accent5"/>
          </a:solidFill>
          <a:ln w="19050">
            <a:solidFill>
              <a:schemeClr val="lt1"/>
            </a:solidFill>
          </a:ln>
          <a:effectLst/>
        </c:spPr>
      </c:pivotFmt>
      <c:pivotFmt>
        <c:idx val="11"/>
        <c:spPr>
          <a:solidFill>
            <a:schemeClr val="accent5"/>
          </a:solidFill>
          <a:ln w="19050">
            <a:solidFill>
              <a:schemeClr val="lt1"/>
            </a:solidFill>
          </a:ln>
          <a:effectLst/>
        </c:spPr>
      </c:pivotFmt>
      <c:pivotFmt>
        <c:idx val="12"/>
        <c:spPr>
          <a:solidFill>
            <a:schemeClr val="accent5"/>
          </a:solidFill>
          <a:ln w="19050">
            <a:solidFill>
              <a:schemeClr val="lt1"/>
            </a:solidFill>
          </a:ln>
          <a:effectLst/>
        </c:spPr>
      </c:pivotFmt>
      <c:pivotFmt>
        <c:idx val="13"/>
        <c:spPr>
          <a:solidFill>
            <a:schemeClr val="accent5"/>
          </a:solidFill>
          <a:ln w="19050">
            <a:solidFill>
              <a:schemeClr val="lt1"/>
            </a:solidFill>
          </a:ln>
          <a:effectLst/>
        </c:spPr>
      </c:pivotFmt>
      <c:pivotFmt>
        <c:idx val="14"/>
        <c:spPr>
          <a:solidFill>
            <a:schemeClr val="accent5"/>
          </a:solidFill>
          <a:ln w="19050">
            <a:solidFill>
              <a:schemeClr val="lt1"/>
            </a:solidFill>
          </a:ln>
          <a:effectLst/>
        </c:spPr>
      </c:pivotFmt>
      <c:pivotFmt>
        <c:idx val="15"/>
        <c:spPr>
          <a:solidFill>
            <a:schemeClr val="accent5"/>
          </a:solidFill>
          <a:ln w="19050">
            <a:solidFill>
              <a:schemeClr val="lt1"/>
            </a:solidFill>
          </a:ln>
          <a:effectLst/>
        </c:spPr>
      </c:pivotFmt>
      <c:pivotFmt>
        <c:idx val="16"/>
        <c:spPr>
          <a:solidFill>
            <a:schemeClr val="accent5"/>
          </a:solidFill>
          <a:ln w="19050">
            <a:solidFill>
              <a:schemeClr val="lt1"/>
            </a:solidFill>
          </a:ln>
          <a:effectLst/>
        </c:spPr>
      </c:pivotFmt>
      <c:pivotFmt>
        <c:idx val="17"/>
        <c:spPr>
          <a:solidFill>
            <a:schemeClr val="accent5"/>
          </a:solidFill>
          <a:ln w="19050">
            <a:solidFill>
              <a:schemeClr val="lt1"/>
            </a:solidFill>
          </a:ln>
          <a:effectLst/>
        </c:spPr>
      </c:pivotFmt>
      <c:pivotFmt>
        <c:idx val="18"/>
        <c:spPr>
          <a:solidFill>
            <a:schemeClr val="accent5"/>
          </a:solidFill>
          <a:ln w="6350">
            <a:solidFill>
              <a:srgbClr val="002060"/>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accent5">
                      <a:lumMod val="50000"/>
                    </a:schemeClr>
                  </a:solidFill>
                  <a:latin typeface="Arial Narrow" panose="020B0606020202030204" pitchFamily="34" charset="0"/>
                  <a:ea typeface="+mn-ea"/>
                  <a:cs typeface="+mn-cs"/>
                </a:defRPr>
              </a:pPr>
              <a:endParaRPr lang="en-US"/>
            </a:p>
          </c:txPr>
          <c:showLegendKey val="0"/>
          <c:showVal val="1"/>
          <c:showCatName val="1"/>
          <c:showSerName val="0"/>
          <c:showPercent val="0"/>
          <c:showBubbleSize val="0"/>
          <c:separator> </c:separator>
          <c:extLst>
            <c:ext xmlns:c15="http://schemas.microsoft.com/office/drawing/2012/chart" uri="{CE6537A1-D6FC-4f65-9D91-7224C49458BB}"/>
          </c:extLst>
        </c:dLbl>
      </c:pivotFmt>
      <c:pivotFmt>
        <c:idx val="19"/>
        <c:spPr>
          <a:solidFill>
            <a:schemeClr val="accent2">
              <a:lumMod val="40000"/>
              <a:lumOff val="60000"/>
            </a:schemeClr>
          </a:solidFill>
          <a:ln w="6350">
            <a:solidFill>
              <a:srgbClr val="002060"/>
            </a:solidFill>
          </a:ln>
          <a:effectLst/>
        </c:spPr>
        <c:dLbl>
          <c:idx val="0"/>
          <c:layout>
            <c:manualLayout>
              <c:x val="1.9225509314433967E-2"/>
              <c:y val="-1.4043253910801811E-2"/>
            </c:manualLayout>
          </c:layout>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accent5">
                      <a:lumMod val="50000"/>
                    </a:schemeClr>
                  </a:solidFill>
                  <a:latin typeface="Arial Narrow" panose="020B0606020202030204" pitchFamily="34" charset="0"/>
                  <a:ea typeface="+mn-ea"/>
                  <a:cs typeface="+mn-cs"/>
                </a:defRPr>
              </a:pPr>
              <a:endParaRPr lang="en-US"/>
            </a:p>
          </c:txPr>
          <c:showLegendKey val="0"/>
          <c:showVal val="1"/>
          <c:showCatName val="1"/>
          <c:showSerName val="0"/>
          <c:showPercent val="0"/>
          <c:showBubbleSize val="0"/>
          <c:separator> </c:separator>
          <c:extLst>
            <c:ext xmlns:c15="http://schemas.microsoft.com/office/drawing/2012/chart" uri="{CE6537A1-D6FC-4f65-9D91-7224C49458BB}"/>
          </c:extLst>
        </c:dLbl>
      </c:pivotFmt>
      <c:pivotFmt>
        <c:idx val="20"/>
        <c:spPr>
          <a:solidFill>
            <a:schemeClr val="accent5">
              <a:tint val="47000"/>
            </a:schemeClr>
          </a:solidFill>
          <a:ln w="6350">
            <a:solidFill>
              <a:srgbClr val="002060"/>
            </a:solidFill>
          </a:ln>
          <a:effectLst/>
        </c:spPr>
      </c:pivotFmt>
      <c:pivotFmt>
        <c:idx val="21"/>
        <c:spPr>
          <a:solidFill>
            <a:schemeClr val="accent1">
              <a:lumMod val="75000"/>
            </a:schemeClr>
          </a:solidFill>
          <a:ln w="6350">
            <a:solidFill>
              <a:srgbClr val="002060"/>
            </a:solidFill>
          </a:ln>
          <a:effectLst/>
        </c:spPr>
        <c:dLbl>
          <c:idx val="0"/>
          <c:layout>
            <c:manualLayout>
              <c:x val="2.1839187134125661E-2"/>
              <c:y val="7.3166326271001799E-3"/>
            </c:manualLayout>
          </c:layout>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accent5">
                      <a:lumMod val="50000"/>
                    </a:schemeClr>
                  </a:solidFill>
                  <a:latin typeface="Arial Narrow" panose="020B0606020202030204" pitchFamily="34" charset="0"/>
                  <a:ea typeface="+mn-ea"/>
                  <a:cs typeface="+mn-cs"/>
                </a:defRPr>
              </a:pPr>
              <a:endParaRPr lang="en-US"/>
            </a:p>
          </c:txPr>
          <c:showLegendKey val="0"/>
          <c:showVal val="1"/>
          <c:showCatName val="1"/>
          <c:showSerName val="0"/>
          <c:showPercent val="0"/>
          <c:showBubbleSize val="0"/>
          <c:separator> </c:separator>
          <c:extLst>
            <c:ext xmlns:c15="http://schemas.microsoft.com/office/drawing/2012/chart" uri="{CE6537A1-D6FC-4f65-9D91-7224C49458BB}"/>
          </c:extLst>
        </c:dLbl>
      </c:pivotFmt>
      <c:pivotFmt>
        <c:idx val="22"/>
        <c:spPr>
          <a:solidFill>
            <a:schemeClr val="accent4">
              <a:lumMod val="40000"/>
              <a:lumOff val="60000"/>
            </a:schemeClr>
          </a:solidFill>
          <a:ln w="6350">
            <a:solidFill>
              <a:srgbClr val="002060"/>
            </a:solidFill>
          </a:ln>
          <a:effectLst/>
        </c:spPr>
        <c:dLbl>
          <c:idx val="0"/>
          <c:layout>
            <c:manualLayout>
              <c:x val="5.6874089617308131E-2"/>
              <c:y val="-3.850746457472095E-2"/>
            </c:manualLayout>
          </c:layout>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accent5">
                      <a:lumMod val="50000"/>
                    </a:schemeClr>
                  </a:solidFill>
                  <a:latin typeface="Arial Narrow" panose="020B0606020202030204" pitchFamily="34" charset="0"/>
                  <a:ea typeface="+mn-ea"/>
                  <a:cs typeface="+mn-cs"/>
                </a:defRPr>
              </a:pPr>
              <a:endParaRPr lang="en-US"/>
            </a:p>
          </c:txPr>
          <c:showLegendKey val="0"/>
          <c:showVal val="1"/>
          <c:showCatName val="1"/>
          <c:showSerName val="0"/>
          <c:showPercent val="0"/>
          <c:showBubbleSize val="0"/>
          <c:separator> </c:separator>
          <c:extLst>
            <c:ext xmlns:c15="http://schemas.microsoft.com/office/drawing/2012/chart" uri="{CE6537A1-D6FC-4f65-9D91-7224C49458BB}"/>
          </c:extLst>
        </c:dLbl>
      </c:pivotFmt>
      <c:pivotFmt>
        <c:idx val="23"/>
        <c:spPr>
          <a:solidFill>
            <a:schemeClr val="accent6">
              <a:lumMod val="60000"/>
              <a:lumOff val="40000"/>
            </a:schemeClr>
          </a:solidFill>
          <a:ln w="6350">
            <a:solidFill>
              <a:srgbClr val="002060"/>
            </a:solidFill>
          </a:ln>
          <a:effectLst/>
        </c:spPr>
        <c:dLbl>
          <c:idx val="0"/>
          <c:layout>
            <c:manualLayout>
              <c:x val="2.395619826074228E-2"/>
              <c:y val="-2.7917832750232983E-2"/>
            </c:manualLayout>
          </c:layout>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accent5">
                      <a:lumMod val="50000"/>
                    </a:schemeClr>
                  </a:solidFill>
                  <a:latin typeface="Arial Narrow" panose="020B0606020202030204" pitchFamily="34" charset="0"/>
                  <a:ea typeface="+mn-ea"/>
                  <a:cs typeface="+mn-cs"/>
                </a:defRPr>
              </a:pPr>
              <a:endParaRPr lang="en-US"/>
            </a:p>
          </c:txPr>
          <c:showLegendKey val="0"/>
          <c:showVal val="1"/>
          <c:showCatName val="1"/>
          <c:showSerName val="0"/>
          <c:showPercent val="0"/>
          <c:showBubbleSize val="0"/>
          <c:separator> </c:separator>
          <c:extLst>
            <c:ext xmlns:c15="http://schemas.microsoft.com/office/drawing/2012/chart" uri="{CE6537A1-D6FC-4f65-9D91-7224C49458BB}">
              <c15:layout>
                <c:manualLayout>
                  <c:w val="0.25453460652038673"/>
                  <c:h val="6.359577300271145E-2"/>
                </c:manualLayout>
              </c15:layout>
            </c:ext>
          </c:extLst>
        </c:dLbl>
      </c:pivotFmt>
      <c:pivotFmt>
        <c:idx val="24"/>
        <c:spPr>
          <a:solidFill>
            <a:srgbClr val="00B0F0"/>
          </a:solidFill>
          <a:ln w="6350">
            <a:solidFill>
              <a:srgbClr val="002060"/>
            </a:solidFill>
          </a:ln>
          <a:effectLst/>
        </c:spPr>
        <c:dLbl>
          <c:idx val="0"/>
          <c:layout>
            <c:manualLayout>
              <c:x val="0.12989465686235674"/>
              <c:y val="-0.14030111311490848"/>
            </c:manualLayout>
          </c:layout>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accent5">
                      <a:lumMod val="50000"/>
                    </a:schemeClr>
                  </a:solidFill>
                  <a:latin typeface="Arial Narrow" panose="020B0606020202030204" pitchFamily="34" charset="0"/>
                  <a:ea typeface="+mn-ea"/>
                  <a:cs typeface="+mn-cs"/>
                </a:defRPr>
              </a:pPr>
              <a:endParaRPr lang="en-US"/>
            </a:p>
          </c:txPr>
          <c:showLegendKey val="0"/>
          <c:showVal val="1"/>
          <c:showCatName val="1"/>
          <c:showSerName val="0"/>
          <c:showPercent val="0"/>
          <c:showBubbleSize val="0"/>
          <c:separator> </c:separator>
          <c:extLst>
            <c:ext xmlns:c15="http://schemas.microsoft.com/office/drawing/2012/chart" uri="{CE6537A1-D6FC-4f65-9D91-7224C49458BB}"/>
          </c:extLst>
        </c:dLbl>
      </c:pivotFmt>
      <c:pivotFmt>
        <c:idx val="25"/>
        <c:spPr>
          <a:solidFill>
            <a:schemeClr val="accent5">
              <a:tint val="88000"/>
            </a:schemeClr>
          </a:solidFill>
          <a:ln w="6350">
            <a:solidFill>
              <a:srgbClr val="002060"/>
            </a:solidFill>
          </a:ln>
          <a:effectLst/>
        </c:spPr>
        <c:dLbl>
          <c:idx val="0"/>
          <c:layout>
            <c:manualLayout>
              <c:x val="0.24857253125717979"/>
              <c:y val="-0.12661805076276272"/>
            </c:manualLayout>
          </c:layout>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accent5">
                      <a:lumMod val="50000"/>
                    </a:schemeClr>
                  </a:solidFill>
                  <a:latin typeface="Arial Narrow" panose="020B0606020202030204" pitchFamily="34" charset="0"/>
                  <a:ea typeface="+mn-ea"/>
                  <a:cs typeface="+mn-cs"/>
                </a:defRPr>
              </a:pPr>
              <a:endParaRPr lang="en-US"/>
            </a:p>
          </c:txPr>
          <c:showLegendKey val="0"/>
          <c:showVal val="1"/>
          <c:showCatName val="1"/>
          <c:showSerName val="0"/>
          <c:showPercent val="0"/>
          <c:showBubbleSize val="0"/>
          <c:separator> </c:separator>
          <c:extLst>
            <c:ext xmlns:c15="http://schemas.microsoft.com/office/drawing/2012/chart" uri="{CE6537A1-D6FC-4f65-9D91-7224C49458BB}"/>
          </c:extLst>
        </c:dLbl>
      </c:pivotFmt>
      <c:pivotFmt>
        <c:idx val="26"/>
        <c:spPr>
          <a:solidFill>
            <a:schemeClr val="bg2">
              <a:lumMod val="50000"/>
            </a:schemeClr>
          </a:solidFill>
          <a:ln w="6350">
            <a:solidFill>
              <a:srgbClr val="002060"/>
            </a:solidFill>
          </a:ln>
          <a:effectLst/>
        </c:spPr>
        <c:dLbl>
          <c:idx val="0"/>
          <c:layout>
            <c:manualLayout>
              <c:x val="0.2853420888522189"/>
              <c:y val="0"/>
            </c:manualLayout>
          </c:layout>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accent5">
                      <a:lumMod val="50000"/>
                    </a:schemeClr>
                  </a:solidFill>
                  <a:latin typeface="Arial Narrow" panose="020B0606020202030204" pitchFamily="34" charset="0"/>
                  <a:ea typeface="+mn-ea"/>
                  <a:cs typeface="+mn-cs"/>
                </a:defRPr>
              </a:pPr>
              <a:endParaRPr lang="en-US"/>
            </a:p>
          </c:txPr>
          <c:showLegendKey val="0"/>
          <c:showVal val="1"/>
          <c:showCatName val="1"/>
          <c:showSerName val="0"/>
          <c:showPercent val="0"/>
          <c:showBubbleSize val="0"/>
          <c:separator> </c:separator>
          <c:extLst>
            <c:ext xmlns:c15="http://schemas.microsoft.com/office/drawing/2012/chart" uri="{CE6537A1-D6FC-4f65-9D91-7224C49458BB}">
              <c15:layout>
                <c:manualLayout>
                  <c:w val="0.14989393251746444"/>
                  <c:h val="0.11581124978388506"/>
                </c:manualLayout>
              </c15:layout>
            </c:ext>
          </c:extLst>
        </c:dLbl>
      </c:pivotFmt>
      <c:pivotFmt>
        <c:idx val="27"/>
        <c:spPr>
          <a:solidFill>
            <a:schemeClr val="accent5">
              <a:shade val="95000"/>
            </a:schemeClr>
          </a:solidFill>
          <a:ln w="6350">
            <a:solidFill>
              <a:srgbClr val="002060"/>
            </a:solidFill>
          </a:ln>
          <a:effectLst/>
        </c:spPr>
        <c:dLbl>
          <c:idx val="0"/>
          <c:layout>
            <c:manualLayout>
              <c:x val="0.13854001496224919"/>
              <c:y val="1.784828239580449E-2"/>
            </c:manualLayout>
          </c:layout>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accent5">
                      <a:lumMod val="50000"/>
                    </a:schemeClr>
                  </a:solidFill>
                  <a:latin typeface="Arial Narrow" panose="020B0606020202030204" pitchFamily="34" charset="0"/>
                  <a:ea typeface="+mn-ea"/>
                  <a:cs typeface="+mn-cs"/>
                </a:defRPr>
              </a:pPr>
              <a:endParaRPr lang="en-US"/>
            </a:p>
          </c:txPr>
          <c:showLegendKey val="0"/>
          <c:showVal val="1"/>
          <c:showCatName val="1"/>
          <c:showSerName val="0"/>
          <c:showPercent val="0"/>
          <c:showBubbleSize val="0"/>
          <c:separator> </c:separator>
          <c:extLst>
            <c:ext xmlns:c15="http://schemas.microsoft.com/office/drawing/2012/chart" uri="{CE6537A1-D6FC-4f65-9D91-7224C49458BB}"/>
          </c:extLst>
        </c:dLbl>
      </c:pivotFmt>
      <c:pivotFmt>
        <c:idx val="28"/>
        <c:spPr>
          <a:solidFill>
            <a:srgbClr val="C00000"/>
          </a:solidFill>
          <a:ln w="6350">
            <a:solidFill>
              <a:srgbClr val="002060"/>
            </a:solidFill>
          </a:ln>
          <a:effectLst/>
        </c:spPr>
      </c:pivotFmt>
      <c:pivotFmt>
        <c:idx val="29"/>
        <c:spPr>
          <a:solidFill>
            <a:schemeClr val="accent5">
              <a:shade val="79000"/>
            </a:schemeClr>
          </a:solidFill>
          <a:ln w="6350">
            <a:solidFill>
              <a:srgbClr val="002060"/>
            </a:solidFill>
          </a:ln>
          <a:effectLst/>
        </c:spPr>
        <c:dLbl>
          <c:idx val="0"/>
          <c:layout>
            <c:manualLayout>
              <c:x val="-0.12137794543343931"/>
              <c:y val="-5.3065880266000591E-3"/>
            </c:manualLayout>
          </c:layout>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accent5">
                      <a:lumMod val="50000"/>
                    </a:schemeClr>
                  </a:solidFill>
                  <a:latin typeface="Arial Narrow" panose="020B0606020202030204" pitchFamily="34" charset="0"/>
                  <a:ea typeface="+mn-ea"/>
                  <a:cs typeface="+mn-cs"/>
                </a:defRPr>
              </a:pPr>
              <a:endParaRPr lang="en-US"/>
            </a:p>
          </c:txPr>
          <c:showLegendKey val="0"/>
          <c:showVal val="1"/>
          <c:showCatName val="1"/>
          <c:showSerName val="0"/>
          <c:showPercent val="0"/>
          <c:showBubbleSize val="0"/>
          <c:separator> </c:separator>
          <c:extLst>
            <c:ext xmlns:c15="http://schemas.microsoft.com/office/drawing/2012/chart" uri="{CE6537A1-D6FC-4f65-9D91-7224C49458BB}"/>
          </c:extLst>
        </c:dLbl>
      </c:pivotFmt>
      <c:pivotFmt>
        <c:idx val="30"/>
        <c:spPr>
          <a:solidFill>
            <a:schemeClr val="accent6">
              <a:lumMod val="75000"/>
            </a:schemeClr>
          </a:solidFill>
          <a:ln w="6350">
            <a:solidFill>
              <a:srgbClr val="002060"/>
            </a:solidFill>
          </a:ln>
          <a:effectLst/>
        </c:spPr>
        <c:dLbl>
          <c:idx val="0"/>
          <c:layout>
            <c:manualLayout>
              <c:x val="-0.12523319567007751"/>
              <c:y val="-0.11479638810447172"/>
            </c:manualLayout>
          </c:layout>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accent5">
                      <a:lumMod val="50000"/>
                    </a:schemeClr>
                  </a:solidFill>
                  <a:latin typeface="Arial Narrow" panose="020B0606020202030204" pitchFamily="34" charset="0"/>
                  <a:ea typeface="+mn-ea"/>
                  <a:cs typeface="+mn-cs"/>
                </a:defRPr>
              </a:pPr>
              <a:endParaRPr lang="en-US"/>
            </a:p>
          </c:txPr>
          <c:showLegendKey val="0"/>
          <c:showVal val="1"/>
          <c:showCatName val="1"/>
          <c:showSerName val="0"/>
          <c:showPercent val="0"/>
          <c:showBubbleSize val="0"/>
          <c:separator> </c:separator>
          <c:extLst>
            <c:ext xmlns:c15="http://schemas.microsoft.com/office/drawing/2012/chart" uri="{CE6537A1-D6FC-4f65-9D91-7224C49458BB}"/>
          </c:extLst>
        </c:dLbl>
      </c:pivotFmt>
      <c:pivotFmt>
        <c:idx val="31"/>
        <c:spPr>
          <a:solidFill>
            <a:schemeClr val="accent2">
              <a:lumMod val="75000"/>
            </a:schemeClr>
          </a:solidFill>
          <a:ln w="6350">
            <a:solidFill>
              <a:srgbClr val="002060"/>
            </a:solidFill>
          </a:ln>
          <a:effectLst/>
        </c:spPr>
        <c:dLbl>
          <c:idx val="0"/>
          <c:layout>
            <c:manualLayout>
              <c:x val="-1.9328879366771658E-2"/>
              <c:y val="-3.6041294468722722E-2"/>
            </c:manualLayout>
          </c:layout>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accent5">
                      <a:lumMod val="50000"/>
                    </a:schemeClr>
                  </a:solidFill>
                  <a:latin typeface="Arial Narrow" panose="020B0606020202030204" pitchFamily="34" charset="0"/>
                  <a:ea typeface="+mn-ea"/>
                  <a:cs typeface="+mn-cs"/>
                </a:defRPr>
              </a:pPr>
              <a:endParaRPr lang="en-US"/>
            </a:p>
          </c:txPr>
          <c:showLegendKey val="0"/>
          <c:showVal val="1"/>
          <c:showCatName val="1"/>
          <c:showSerName val="0"/>
          <c:showPercent val="0"/>
          <c:showBubbleSize val="0"/>
          <c:separator> </c:separator>
          <c:extLst>
            <c:ext xmlns:c15="http://schemas.microsoft.com/office/drawing/2012/chart" uri="{CE6537A1-D6FC-4f65-9D91-7224C49458BB}"/>
          </c:extLst>
        </c:dLbl>
      </c:pivotFmt>
      <c:pivotFmt>
        <c:idx val="32"/>
        <c:spPr>
          <a:solidFill>
            <a:srgbClr val="FFC000"/>
          </a:solidFill>
          <a:ln w="6350">
            <a:solidFill>
              <a:srgbClr val="002060"/>
            </a:solidFill>
          </a:ln>
          <a:effectLst/>
        </c:spPr>
        <c:dLbl>
          <c:idx val="0"/>
          <c:layout>
            <c:manualLayout>
              <c:x val="7.7543572929269387E-3"/>
              <c:y val="-2.9955287049830914E-2"/>
            </c:manualLayout>
          </c:layout>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accent5">
                      <a:lumMod val="50000"/>
                    </a:schemeClr>
                  </a:solidFill>
                  <a:latin typeface="Arial Narrow" panose="020B0606020202030204" pitchFamily="34" charset="0"/>
                  <a:ea typeface="+mn-ea"/>
                  <a:cs typeface="+mn-cs"/>
                </a:defRPr>
              </a:pPr>
              <a:endParaRPr lang="en-US"/>
            </a:p>
          </c:txPr>
          <c:showLegendKey val="0"/>
          <c:showVal val="0"/>
          <c:showCatName val="1"/>
          <c:showSerName val="0"/>
          <c:showPercent val="1"/>
          <c:showBubbleSize val="0"/>
          <c:separator> </c:separator>
          <c:extLst>
            <c:ext xmlns:c15="http://schemas.microsoft.com/office/drawing/2012/chart" uri="{CE6537A1-D6FC-4f65-9D91-7224C49458BB}"/>
          </c:extLst>
        </c:dLbl>
      </c:pivotFmt>
      <c:pivotFmt>
        <c:idx val="33"/>
        <c:spPr>
          <a:solidFill>
            <a:schemeClr val="accent5">
              <a:shade val="46000"/>
            </a:schemeClr>
          </a:solidFill>
          <a:ln w="6350">
            <a:solidFill>
              <a:srgbClr val="002060"/>
            </a:solidFill>
          </a:ln>
          <a:effectLst/>
        </c:spPr>
      </c:pivotFmt>
      <c:pivotFmt>
        <c:idx val="34"/>
        <c:spPr>
          <a:solidFill>
            <a:srgbClr val="92D050"/>
          </a:solidFill>
          <a:ln w="6350">
            <a:solidFill>
              <a:srgbClr val="002060"/>
            </a:solidFill>
          </a:ln>
          <a:effectLst/>
        </c:spPr>
        <c:dLbl>
          <c:idx val="0"/>
          <c:layout>
            <c:manualLayout>
              <c:x val="-3.7398266325771833E-2"/>
              <c:y val="-3.5633311639845032E-2"/>
            </c:manualLayout>
          </c:layout>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accent5">
                      <a:lumMod val="50000"/>
                    </a:schemeClr>
                  </a:solidFill>
                  <a:latin typeface="Arial Narrow" panose="020B0606020202030204" pitchFamily="34" charset="0"/>
                  <a:ea typeface="+mn-ea"/>
                  <a:cs typeface="+mn-cs"/>
                </a:defRPr>
              </a:pPr>
              <a:endParaRPr lang="en-US"/>
            </a:p>
          </c:txPr>
          <c:showLegendKey val="0"/>
          <c:showVal val="1"/>
          <c:showCatName val="1"/>
          <c:showSerName val="0"/>
          <c:showPercent val="0"/>
          <c:showBubbleSize val="0"/>
          <c:separator> </c:separator>
          <c:extLst>
            <c:ext xmlns:c15="http://schemas.microsoft.com/office/drawing/2012/chart" uri="{CE6537A1-D6FC-4f65-9D91-7224C49458BB}"/>
          </c:extLst>
        </c:dLbl>
      </c:pivotFmt>
    </c:pivotFmts>
    <c:plotArea>
      <c:layout/>
      <c:pieChart>
        <c:varyColors val="1"/>
        <c:ser>
          <c:idx val="0"/>
          <c:order val="0"/>
          <c:tx>
            <c:strRef>
              <c:f>'CALCULATION-NGẮN'!$B$67</c:f>
              <c:strCache>
                <c:ptCount val="1"/>
                <c:pt idx="0">
                  <c:v>Total</c:v>
                </c:pt>
              </c:strCache>
            </c:strRef>
          </c:tx>
          <c:spPr>
            <a:ln w="6350">
              <a:solidFill>
                <a:srgbClr val="002060"/>
              </a:solidFill>
            </a:ln>
          </c:spPr>
          <c:dPt>
            <c:idx val="0"/>
            <c:bubble3D val="0"/>
            <c:explosion val="11"/>
            <c:spPr>
              <a:solidFill>
                <a:schemeClr val="accent2">
                  <a:lumMod val="40000"/>
                  <a:lumOff val="60000"/>
                </a:schemeClr>
              </a:solidFill>
              <a:ln w="6350">
                <a:solidFill>
                  <a:srgbClr val="002060"/>
                </a:solidFill>
              </a:ln>
              <a:effectLst/>
            </c:spPr>
            <c:extLst>
              <c:ext xmlns:c16="http://schemas.microsoft.com/office/drawing/2014/chart" uri="{C3380CC4-5D6E-409C-BE32-E72D297353CC}">
                <c16:uniqueId val="{00000001-C644-46E3-A43D-83455546BEC4}"/>
              </c:ext>
            </c:extLst>
          </c:dPt>
          <c:dPt>
            <c:idx val="1"/>
            <c:bubble3D val="0"/>
            <c:explosion val="8"/>
            <c:spPr>
              <a:solidFill>
                <a:schemeClr val="accent5">
                  <a:tint val="47000"/>
                </a:schemeClr>
              </a:solidFill>
              <a:ln w="6350">
                <a:solidFill>
                  <a:srgbClr val="002060"/>
                </a:solidFill>
              </a:ln>
              <a:effectLst/>
            </c:spPr>
            <c:extLst>
              <c:ext xmlns:c16="http://schemas.microsoft.com/office/drawing/2014/chart" uri="{C3380CC4-5D6E-409C-BE32-E72D297353CC}">
                <c16:uniqueId val="{00000003-C644-46E3-A43D-83455546BEC4}"/>
              </c:ext>
            </c:extLst>
          </c:dPt>
          <c:dPt>
            <c:idx val="2"/>
            <c:bubble3D val="0"/>
            <c:explosion val="18"/>
            <c:spPr>
              <a:solidFill>
                <a:schemeClr val="accent1">
                  <a:lumMod val="75000"/>
                </a:schemeClr>
              </a:solidFill>
              <a:ln w="6350">
                <a:solidFill>
                  <a:srgbClr val="002060"/>
                </a:solidFill>
              </a:ln>
              <a:effectLst/>
            </c:spPr>
            <c:extLst>
              <c:ext xmlns:c16="http://schemas.microsoft.com/office/drawing/2014/chart" uri="{C3380CC4-5D6E-409C-BE32-E72D297353CC}">
                <c16:uniqueId val="{00000005-C644-46E3-A43D-83455546BEC4}"/>
              </c:ext>
            </c:extLst>
          </c:dPt>
          <c:dPt>
            <c:idx val="3"/>
            <c:bubble3D val="0"/>
            <c:explosion val="11"/>
            <c:spPr>
              <a:solidFill>
                <a:schemeClr val="accent4">
                  <a:lumMod val="40000"/>
                  <a:lumOff val="60000"/>
                </a:schemeClr>
              </a:solidFill>
              <a:ln w="6350">
                <a:solidFill>
                  <a:srgbClr val="002060"/>
                </a:solidFill>
              </a:ln>
              <a:effectLst/>
            </c:spPr>
            <c:extLst>
              <c:ext xmlns:c16="http://schemas.microsoft.com/office/drawing/2014/chart" uri="{C3380CC4-5D6E-409C-BE32-E72D297353CC}">
                <c16:uniqueId val="{00000007-C644-46E3-A43D-83455546BEC4}"/>
              </c:ext>
            </c:extLst>
          </c:dPt>
          <c:dPt>
            <c:idx val="4"/>
            <c:bubble3D val="0"/>
            <c:explosion val="17"/>
            <c:spPr>
              <a:solidFill>
                <a:schemeClr val="accent6">
                  <a:lumMod val="60000"/>
                  <a:lumOff val="40000"/>
                </a:schemeClr>
              </a:solidFill>
              <a:ln w="6350">
                <a:solidFill>
                  <a:srgbClr val="002060"/>
                </a:solidFill>
              </a:ln>
              <a:effectLst/>
            </c:spPr>
            <c:extLst>
              <c:ext xmlns:c16="http://schemas.microsoft.com/office/drawing/2014/chart" uri="{C3380CC4-5D6E-409C-BE32-E72D297353CC}">
                <c16:uniqueId val="{00000009-C644-46E3-A43D-83455546BEC4}"/>
              </c:ext>
            </c:extLst>
          </c:dPt>
          <c:dPt>
            <c:idx val="5"/>
            <c:bubble3D val="0"/>
            <c:explosion val="8"/>
            <c:spPr>
              <a:solidFill>
                <a:srgbClr val="00B0F0"/>
              </a:solidFill>
              <a:ln w="6350">
                <a:solidFill>
                  <a:srgbClr val="002060"/>
                </a:solidFill>
              </a:ln>
              <a:effectLst/>
            </c:spPr>
            <c:extLst>
              <c:ext xmlns:c16="http://schemas.microsoft.com/office/drawing/2014/chart" uri="{C3380CC4-5D6E-409C-BE32-E72D297353CC}">
                <c16:uniqueId val="{0000000B-C644-46E3-A43D-83455546BEC4}"/>
              </c:ext>
            </c:extLst>
          </c:dPt>
          <c:dPt>
            <c:idx val="6"/>
            <c:bubble3D val="0"/>
            <c:explosion val="4"/>
            <c:spPr>
              <a:solidFill>
                <a:schemeClr val="accent5">
                  <a:tint val="88000"/>
                </a:schemeClr>
              </a:solidFill>
              <a:ln w="6350">
                <a:solidFill>
                  <a:srgbClr val="002060"/>
                </a:solidFill>
              </a:ln>
              <a:effectLst/>
            </c:spPr>
            <c:extLst>
              <c:ext xmlns:c16="http://schemas.microsoft.com/office/drawing/2014/chart" uri="{C3380CC4-5D6E-409C-BE32-E72D297353CC}">
                <c16:uniqueId val="{0000000D-C644-46E3-A43D-83455546BEC4}"/>
              </c:ext>
            </c:extLst>
          </c:dPt>
          <c:dPt>
            <c:idx val="7"/>
            <c:bubble3D val="0"/>
            <c:explosion val="7"/>
            <c:spPr>
              <a:solidFill>
                <a:schemeClr val="bg2">
                  <a:lumMod val="50000"/>
                </a:schemeClr>
              </a:solidFill>
              <a:ln w="6350">
                <a:solidFill>
                  <a:srgbClr val="002060"/>
                </a:solidFill>
              </a:ln>
              <a:effectLst/>
            </c:spPr>
            <c:extLst>
              <c:ext xmlns:c16="http://schemas.microsoft.com/office/drawing/2014/chart" uri="{C3380CC4-5D6E-409C-BE32-E72D297353CC}">
                <c16:uniqueId val="{0000000F-C644-46E3-A43D-83455546BEC4}"/>
              </c:ext>
            </c:extLst>
          </c:dPt>
          <c:dPt>
            <c:idx val="8"/>
            <c:bubble3D val="0"/>
            <c:spPr>
              <a:solidFill>
                <a:schemeClr val="accent5">
                  <a:shade val="95000"/>
                </a:schemeClr>
              </a:solidFill>
              <a:ln w="6350">
                <a:solidFill>
                  <a:srgbClr val="002060"/>
                </a:solidFill>
              </a:ln>
              <a:effectLst/>
            </c:spPr>
            <c:extLst>
              <c:ext xmlns:c16="http://schemas.microsoft.com/office/drawing/2014/chart" uri="{C3380CC4-5D6E-409C-BE32-E72D297353CC}">
                <c16:uniqueId val="{00000011-C644-46E3-A43D-83455546BEC4}"/>
              </c:ext>
            </c:extLst>
          </c:dPt>
          <c:dPt>
            <c:idx val="9"/>
            <c:bubble3D val="0"/>
            <c:explosion val="11"/>
            <c:spPr>
              <a:solidFill>
                <a:srgbClr val="C00000"/>
              </a:solidFill>
              <a:ln w="6350">
                <a:solidFill>
                  <a:srgbClr val="002060"/>
                </a:solidFill>
              </a:ln>
              <a:effectLst/>
            </c:spPr>
            <c:extLst>
              <c:ext xmlns:c16="http://schemas.microsoft.com/office/drawing/2014/chart" uri="{C3380CC4-5D6E-409C-BE32-E72D297353CC}">
                <c16:uniqueId val="{00000013-C644-46E3-A43D-83455546BEC4}"/>
              </c:ext>
            </c:extLst>
          </c:dPt>
          <c:dPt>
            <c:idx val="10"/>
            <c:bubble3D val="0"/>
            <c:explosion val="16"/>
            <c:spPr>
              <a:solidFill>
                <a:schemeClr val="accent5">
                  <a:shade val="79000"/>
                </a:schemeClr>
              </a:solidFill>
              <a:ln w="6350">
                <a:solidFill>
                  <a:srgbClr val="002060"/>
                </a:solidFill>
              </a:ln>
              <a:effectLst/>
            </c:spPr>
            <c:extLst>
              <c:ext xmlns:c16="http://schemas.microsoft.com/office/drawing/2014/chart" uri="{C3380CC4-5D6E-409C-BE32-E72D297353CC}">
                <c16:uniqueId val="{00000015-C644-46E3-A43D-83455546BEC4}"/>
              </c:ext>
            </c:extLst>
          </c:dPt>
          <c:dPt>
            <c:idx val="11"/>
            <c:bubble3D val="0"/>
            <c:explosion val="18"/>
            <c:spPr>
              <a:solidFill>
                <a:schemeClr val="accent6">
                  <a:lumMod val="75000"/>
                </a:schemeClr>
              </a:solidFill>
              <a:ln w="6350">
                <a:solidFill>
                  <a:srgbClr val="002060"/>
                </a:solidFill>
              </a:ln>
              <a:effectLst/>
            </c:spPr>
            <c:extLst>
              <c:ext xmlns:c16="http://schemas.microsoft.com/office/drawing/2014/chart" uri="{C3380CC4-5D6E-409C-BE32-E72D297353CC}">
                <c16:uniqueId val="{00000017-C644-46E3-A43D-83455546BEC4}"/>
              </c:ext>
            </c:extLst>
          </c:dPt>
          <c:dPt>
            <c:idx val="12"/>
            <c:bubble3D val="0"/>
            <c:explosion val="22"/>
            <c:spPr>
              <a:solidFill>
                <a:schemeClr val="accent2">
                  <a:lumMod val="75000"/>
                </a:schemeClr>
              </a:solidFill>
              <a:ln w="6350">
                <a:solidFill>
                  <a:srgbClr val="002060"/>
                </a:solidFill>
              </a:ln>
              <a:effectLst/>
            </c:spPr>
            <c:extLst>
              <c:ext xmlns:c16="http://schemas.microsoft.com/office/drawing/2014/chart" uri="{C3380CC4-5D6E-409C-BE32-E72D297353CC}">
                <c16:uniqueId val="{00000019-C644-46E3-A43D-83455546BEC4}"/>
              </c:ext>
            </c:extLst>
          </c:dPt>
          <c:dPt>
            <c:idx val="13"/>
            <c:bubble3D val="0"/>
            <c:explosion val="21"/>
            <c:spPr>
              <a:solidFill>
                <a:srgbClr val="FFC000"/>
              </a:solidFill>
              <a:ln w="6350">
                <a:solidFill>
                  <a:srgbClr val="002060"/>
                </a:solidFill>
              </a:ln>
              <a:effectLst/>
            </c:spPr>
            <c:extLst>
              <c:ext xmlns:c16="http://schemas.microsoft.com/office/drawing/2014/chart" uri="{C3380CC4-5D6E-409C-BE32-E72D297353CC}">
                <c16:uniqueId val="{0000001B-C644-46E3-A43D-83455546BEC4}"/>
              </c:ext>
            </c:extLst>
          </c:dPt>
          <c:dPt>
            <c:idx val="14"/>
            <c:bubble3D val="0"/>
            <c:explosion val="12"/>
            <c:spPr>
              <a:solidFill>
                <a:schemeClr val="accent5">
                  <a:shade val="46000"/>
                </a:schemeClr>
              </a:solidFill>
              <a:ln w="6350">
                <a:solidFill>
                  <a:srgbClr val="002060"/>
                </a:solidFill>
              </a:ln>
              <a:effectLst/>
            </c:spPr>
            <c:extLst>
              <c:ext xmlns:c16="http://schemas.microsoft.com/office/drawing/2014/chart" uri="{C3380CC4-5D6E-409C-BE32-E72D297353CC}">
                <c16:uniqueId val="{0000001D-C644-46E3-A43D-83455546BEC4}"/>
              </c:ext>
            </c:extLst>
          </c:dPt>
          <c:dPt>
            <c:idx val="15"/>
            <c:bubble3D val="0"/>
            <c:explosion val="13"/>
            <c:spPr>
              <a:solidFill>
                <a:srgbClr val="92D050"/>
              </a:solidFill>
              <a:ln w="6350">
                <a:solidFill>
                  <a:srgbClr val="002060"/>
                </a:solidFill>
              </a:ln>
              <a:effectLst/>
            </c:spPr>
            <c:extLst>
              <c:ext xmlns:c16="http://schemas.microsoft.com/office/drawing/2014/chart" uri="{C3380CC4-5D6E-409C-BE32-E72D297353CC}">
                <c16:uniqueId val="{0000001F-C644-46E3-A43D-83455546BEC4}"/>
              </c:ext>
            </c:extLst>
          </c:dPt>
          <c:dLbls>
            <c:dLbl>
              <c:idx val="0"/>
              <c:layout>
                <c:manualLayout>
                  <c:x val="1.9225509314433967E-2"/>
                  <c:y val="-1.4043253910801811E-2"/>
                </c:manualLayout>
              </c:layout>
              <c:showLegendKey val="0"/>
              <c:showVal val="1"/>
              <c:showCatName val="1"/>
              <c:showSerName val="0"/>
              <c:showPercent val="0"/>
              <c:showBubbleSize val="0"/>
              <c:separator> </c:separator>
              <c:extLst>
                <c:ext xmlns:c15="http://schemas.microsoft.com/office/drawing/2012/chart" uri="{CE6537A1-D6FC-4f65-9D91-7224C49458BB}"/>
                <c:ext xmlns:c16="http://schemas.microsoft.com/office/drawing/2014/chart" uri="{C3380CC4-5D6E-409C-BE32-E72D297353CC}">
                  <c16:uniqueId val="{00000001-C644-46E3-A43D-83455546BEC4}"/>
                </c:ext>
              </c:extLst>
            </c:dLbl>
            <c:dLbl>
              <c:idx val="2"/>
              <c:layout>
                <c:manualLayout>
                  <c:x val="2.1839187134125661E-2"/>
                  <c:y val="7.3166326271001799E-3"/>
                </c:manualLayout>
              </c:layout>
              <c:showLegendKey val="0"/>
              <c:showVal val="1"/>
              <c:showCatName val="1"/>
              <c:showSerName val="0"/>
              <c:showPercent val="0"/>
              <c:showBubbleSize val="0"/>
              <c:separator> </c:separator>
              <c:extLst>
                <c:ext xmlns:c15="http://schemas.microsoft.com/office/drawing/2012/chart" uri="{CE6537A1-D6FC-4f65-9D91-7224C49458BB}"/>
                <c:ext xmlns:c16="http://schemas.microsoft.com/office/drawing/2014/chart" uri="{C3380CC4-5D6E-409C-BE32-E72D297353CC}">
                  <c16:uniqueId val="{00000005-C644-46E3-A43D-83455546BEC4}"/>
                </c:ext>
              </c:extLst>
            </c:dLbl>
            <c:dLbl>
              <c:idx val="3"/>
              <c:layout>
                <c:manualLayout>
                  <c:x val="5.6874089617308131E-2"/>
                  <c:y val="-3.850746457472095E-2"/>
                </c:manualLayout>
              </c:layout>
              <c:showLegendKey val="0"/>
              <c:showVal val="1"/>
              <c:showCatName val="1"/>
              <c:showSerName val="0"/>
              <c:showPercent val="0"/>
              <c:showBubbleSize val="0"/>
              <c:separator> </c:separator>
              <c:extLst>
                <c:ext xmlns:c15="http://schemas.microsoft.com/office/drawing/2012/chart" uri="{CE6537A1-D6FC-4f65-9D91-7224C49458BB}"/>
                <c:ext xmlns:c16="http://schemas.microsoft.com/office/drawing/2014/chart" uri="{C3380CC4-5D6E-409C-BE32-E72D297353CC}">
                  <c16:uniqueId val="{00000007-C644-46E3-A43D-83455546BEC4}"/>
                </c:ext>
              </c:extLst>
            </c:dLbl>
            <c:dLbl>
              <c:idx val="4"/>
              <c:layout>
                <c:manualLayout>
                  <c:x val="2.395619826074228E-2"/>
                  <c:y val="-2.7917832750232983E-2"/>
                </c:manualLayout>
              </c:layout>
              <c:showLegendKey val="0"/>
              <c:showVal val="1"/>
              <c:showCatName val="1"/>
              <c:showSerName val="0"/>
              <c:showPercent val="0"/>
              <c:showBubbleSize val="0"/>
              <c:separator> </c:separator>
              <c:extLst>
                <c:ext xmlns:c15="http://schemas.microsoft.com/office/drawing/2012/chart" uri="{CE6537A1-D6FC-4f65-9D91-7224C49458BB}">
                  <c15:layout>
                    <c:manualLayout>
                      <c:w val="0.25453460652038673"/>
                      <c:h val="6.359577300271145E-2"/>
                    </c:manualLayout>
                  </c15:layout>
                </c:ext>
                <c:ext xmlns:c16="http://schemas.microsoft.com/office/drawing/2014/chart" uri="{C3380CC4-5D6E-409C-BE32-E72D297353CC}">
                  <c16:uniqueId val="{00000009-C644-46E3-A43D-83455546BEC4}"/>
                </c:ext>
              </c:extLst>
            </c:dLbl>
            <c:dLbl>
              <c:idx val="5"/>
              <c:layout>
                <c:manualLayout>
                  <c:x val="0.12989465686235674"/>
                  <c:y val="-0.14030111311490848"/>
                </c:manualLayout>
              </c:layout>
              <c:showLegendKey val="0"/>
              <c:showVal val="1"/>
              <c:showCatName val="1"/>
              <c:showSerName val="0"/>
              <c:showPercent val="0"/>
              <c:showBubbleSize val="0"/>
              <c:separator> </c:separator>
              <c:extLst>
                <c:ext xmlns:c15="http://schemas.microsoft.com/office/drawing/2012/chart" uri="{CE6537A1-D6FC-4f65-9D91-7224C49458BB}"/>
                <c:ext xmlns:c16="http://schemas.microsoft.com/office/drawing/2014/chart" uri="{C3380CC4-5D6E-409C-BE32-E72D297353CC}">
                  <c16:uniqueId val="{0000000B-C644-46E3-A43D-83455546BEC4}"/>
                </c:ext>
              </c:extLst>
            </c:dLbl>
            <c:dLbl>
              <c:idx val="6"/>
              <c:layout>
                <c:manualLayout>
                  <c:x val="0.24857253125717979"/>
                  <c:y val="-0.12661805076276272"/>
                </c:manualLayout>
              </c:layout>
              <c:showLegendKey val="0"/>
              <c:showVal val="1"/>
              <c:showCatName val="1"/>
              <c:showSerName val="0"/>
              <c:showPercent val="0"/>
              <c:showBubbleSize val="0"/>
              <c:separator> </c:separator>
              <c:extLst>
                <c:ext xmlns:c15="http://schemas.microsoft.com/office/drawing/2012/chart" uri="{CE6537A1-D6FC-4f65-9D91-7224C49458BB}"/>
                <c:ext xmlns:c16="http://schemas.microsoft.com/office/drawing/2014/chart" uri="{C3380CC4-5D6E-409C-BE32-E72D297353CC}">
                  <c16:uniqueId val="{0000000D-C644-46E3-A43D-83455546BEC4}"/>
                </c:ext>
              </c:extLst>
            </c:dLbl>
            <c:dLbl>
              <c:idx val="7"/>
              <c:layout>
                <c:manualLayout>
                  <c:x val="0.2853420888522189"/>
                  <c:y val="0"/>
                </c:manualLayout>
              </c:layout>
              <c:showLegendKey val="0"/>
              <c:showVal val="1"/>
              <c:showCatName val="1"/>
              <c:showSerName val="0"/>
              <c:showPercent val="0"/>
              <c:showBubbleSize val="0"/>
              <c:separator> </c:separator>
              <c:extLst>
                <c:ext xmlns:c15="http://schemas.microsoft.com/office/drawing/2012/chart" uri="{CE6537A1-D6FC-4f65-9D91-7224C49458BB}">
                  <c15:layout>
                    <c:manualLayout>
                      <c:w val="0.14989393251746444"/>
                      <c:h val="0.11581124978388506"/>
                    </c:manualLayout>
                  </c15:layout>
                </c:ext>
                <c:ext xmlns:c16="http://schemas.microsoft.com/office/drawing/2014/chart" uri="{C3380CC4-5D6E-409C-BE32-E72D297353CC}">
                  <c16:uniqueId val="{0000000F-C644-46E3-A43D-83455546BEC4}"/>
                </c:ext>
              </c:extLst>
            </c:dLbl>
            <c:dLbl>
              <c:idx val="8"/>
              <c:layout>
                <c:manualLayout>
                  <c:x val="0.13854001496224919"/>
                  <c:y val="1.784828239580449E-2"/>
                </c:manualLayout>
              </c:layout>
              <c:showLegendKey val="0"/>
              <c:showVal val="1"/>
              <c:showCatName val="1"/>
              <c:showSerName val="0"/>
              <c:showPercent val="0"/>
              <c:showBubbleSize val="0"/>
              <c:separator> </c:separator>
              <c:extLst>
                <c:ext xmlns:c15="http://schemas.microsoft.com/office/drawing/2012/chart" uri="{CE6537A1-D6FC-4f65-9D91-7224C49458BB}"/>
                <c:ext xmlns:c16="http://schemas.microsoft.com/office/drawing/2014/chart" uri="{C3380CC4-5D6E-409C-BE32-E72D297353CC}">
                  <c16:uniqueId val="{00000011-C644-46E3-A43D-83455546BEC4}"/>
                </c:ext>
              </c:extLst>
            </c:dLbl>
            <c:dLbl>
              <c:idx val="10"/>
              <c:layout>
                <c:manualLayout>
                  <c:x val="-0.12137794543343931"/>
                  <c:y val="-5.3065880266000591E-3"/>
                </c:manualLayout>
              </c:layout>
              <c:showLegendKey val="0"/>
              <c:showVal val="1"/>
              <c:showCatName val="1"/>
              <c:showSerName val="0"/>
              <c:showPercent val="0"/>
              <c:showBubbleSize val="0"/>
              <c:separator> </c:separator>
              <c:extLst>
                <c:ext xmlns:c15="http://schemas.microsoft.com/office/drawing/2012/chart" uri="{CE6537A1-D6FC-4f65-9D91-7224C49458BB}"/>
                <c:ext xmlns:c16="http://schemas.microsoft.com/office/drawing/2014/chart" uri="{C3380CC4-5D6E-409C-BE32-E72D297353CC}">
                  <c16:uniqueId val="{00000015-C644-46E3-A43D-83455546BEC4}"/>
                </c:ext>
              </c:extLst>
            </c:dLbl>
            <c:dLbl>
              <c:idx val="11"/>
              <c:layout>
                <c:manualLayout>
                  <c:x val="-0.12523319567007751"/>
                  <c:y val="-0.11479638810447172"/>
                </c:manualLayout>
              </c:layout>
              <c:showLegendKey val="0"/>
              <c:showVal val="1"/>
              <c:showCatName val="1"/>
              <c:showSerName val="0"/>
              <c:showPercent val="0"/>
              <c:showBubbleSize val="0"/>
              <c:separator> </c:separator>
              <c:extLst>
                <c:ext xmlns:c15="http://schemas.microsoft.com/office/drawing/2012/chart" uri="{CE6537A1-D6FC-4f65-9D91-7224C49458BB}"/>
                <c:ext xmlns:c16="http://schemas.microsoft.com/office/drawing/2014/chart" uri="{C3380CC4-5D6E-409C-BE32-E72D297353CC}">
                  <c16:uniqueId val="{00000017-C644-46E3-A43D-83455546BEC4}"/>
                </c:ext>
              </c:extLst>
            </c:dLbl>
            <c:dLbl>
              <c:idx val="12"/>
              <c:layout>
                <c:manualLayout>
                  <c:x val="-1.9328879366771658E-2"/>
                  <c:y val="-3.6041294468722722E-2"/>
                </c:manualLayout>
              </c:layout>
              <c:showLegendKey val="0"/>
              <c:showVal val="1"/>
              <c:showCatName val="1"/>
              <c:showSerName val="0"/>
              <c:showPercent val="0"/>
              <c:showBubbleSize val="0"/>
              <c:separator> </c:separator>
              <c:extLst>
                <c:ext xmlns:c15="http://schemas.microsoft.com/office/drawing/2012/chart" uri="{CE6537A1-D6FC-4f65-9D91-7224C49458BB}"/>
                <c:ext xmlns:c16="http://schemas.microsoft.com/office/drawing/2014/chart" uri="{C3380CC4-5D6E-409C-BE32-E72D297353CC}">
                  <c16:uniqueId val="{00000019-C644-46E3-A43D-83455546BEC4}"/>
                </c:ext>
              </c:extLst>
            </c:dLbl>
            <c:dLbl>
              <c:idx val="13"/>
              <c:layout>
                <c:manualLayout>
                  <c:x val="7.7543572929269387E-3"/>
                  <c:y val="-2.9955287049830914E-2"/>
                </c:manualLayout>
              </c:layout>
              <c:showLegendKey val="0"/>
              <c:showVal val="0"/>
              <c:showCatName val="1"/>
              <c:showSerName val="0"/>
              <c:showPercent val="1"/>
              <c:showBubbleSize val="0"/>
              <c:separator> </c:separator>
              <c:extLst>
                <c:ext xmlns:c15="http://schemas.microsoft.com/office/drawing/2012/chart" uri="{CE6537A1-D6FC-4f65-9D91-7224C49458BB}"/>
                <c:ext xmlns:c16="http://schemas.microsoft.com/office/drawing/2014/chart" uri="{C3380CC4-5D6E-409C-BE32-E72D297353CC}">
                  <c16:uniqueId val="{0000001B-C644-46E3-A43D-83455546BEC4}"/>
                </c:ext>
              </c:extLst>
            </c:dLbl>
            <c:dLbl>
              <c:idx val="15"/>
              <c:layout>
                <c:manualLayout>
                  <c:x val="-3.7398266325771833E-2"/>
                  <c:y val="-3.5633311639845032E-2"/>
                </c:manualLayout>
              </c:layout>
              <c:showLegendKey val="0"/>
              <c:showVal val="1"/>
              <c:showCatName val="1"/>
              <c:showSerName val="0"/>
              <c:showPercent val="0"/>
              <c:showBubbleSize val="0"/>
              <c:separator> </c:separator>
              <c:extLst>
                <c:ext xmlns:c15="http://schemas.microsoft.com/office/drawing/2012/chart" uri="{CE6537A1-D6FC-4f65-9D91-7224C49458BB}"/>
                <c:ext xmlns:c16="http://schemas.microsoft.com/office/drawing/2014/chart" uri="{C3380CC4-5D6E-409C-BE32-E72D297353CC}">
                  <c16:uniqueId val="{0000001F-C644-46E3-A43D-83455546BEC4}"/>
                </c:ext>
              </c:extLst>
            </c:dLbl>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accent5">
                        <a:lumMod val="50000"/>
                      </a:schemeClr>
                    </a:solidFill>
                    <a:latin typeface="Arial Narrow" panose="020B0606020202030204" pitchFamily="34" charset="0"/>
                    <a:ea typeface="+mn-ea"/>
                    <a:cs typeface="+mn-cs"/>
                  </a:defRPr>
                </a:pPr>
                <a:endParaRPr lang="en-US"/>
              </a:p>
            </c:txPr>
            <c:showLegendKey val="0"/>
            <c:showVal val="1"/>
            <c:showCatName val="1"/>
            <c:showSerName val="0"/>
            <c:showPercent val="0"/>
            <c:showBubbleSize val="0"/>
            <c:separator> </c:separator>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'CALCULATION-NGẮN'!$A$68:$A$84</c:f>
              <c:strCache>
                <c:ptCount val="16"/>
                <c:pt idx="0">
                  <c:v>ANH MINH</c:v>
                </c:pt>
                <c:pt idx="1">
                  <c:v>CITY</c:v>
                </c:pt>
                <c:pt idx="2">
                  <c:v>GHP</c:v>
                </c:pt>
                <c:pt idx="3">
                  <c:v>HOI TU</c:v>
                </c:pt>
                <c:pt idx="4">
                  <c:v>KHANG THINH</c:v>
                </c:pt>
                <c:pt idx="5">
                  <c:v>LOGITEM</c:v>
                </c:pt>
                <c:pt idx="6">
                  <c:v>NHAT PHONG VAN</c:v>
                </c:pt>
                <c:pt idx="7">
                  <c:v>NHAT QUANG</c:v>
                </c:pt>
                <c:pt idx="8">
                  <c:v>NHAT TIN</c:v>
                </c:pt>
                <c:pt idx="9">
                  <c:v>NHUT LIEN</c:v>
                </c:pt>
                <c:pt idx="10">
                  <c:v>PHUONG ANH</c:v>
                </c:pt>
                <c:pt idx="11">
                  <c:v>PHUONG DUC</c:v>
                </c:pt>
                <c:pt idx="12">
                  <c:v>SPNL</c:v>
                </c:pt>
                <c:pt idx="13">
                  <c:v>THUAN THANH TIN</c:v>
                </c:pt>
                <c:pt idx="14">
                  <c:v>THUY ANH</c:v>
                </c:pt>
                <c:pt idx="15">
                  <c:v>VINAFCO</c:v>
                </c:pt>
              </c:strCache>
            </c:strRef>
          </c:cat>
          <c:val>
            <c:numRef>
              <c:f>'CALCULATION-NGẮN'!$B$68:$B$84</c:f>
              <c:numCache>
                <c:formatCode>0.00%</c:formatCode>
                <c:ptCount val="16"/>
                <c:pt idx="0">
                  <c:v>0.12344797687192353</c:v>
                </c:pt>
                <c:pt idx="1">
                  <c:v>2.9980895574984671E-2</c:v>
                </c:pt>
                <c:pt idx="2">
                  <c:v>1.7721087234803225E-2</c:v>
                </c:pt>
                <c:pt idx="3">
                  <c:v>0.10722080107856963</c:v>
                </c:pt>
                <c:pt idx="4">
                  <c:v>1.9676794990652603E-2</c:v>
                </c:pt>
                <c:pt idx="5">
                  <c:v>0.1538888779334846</c:v>
                </c:pt>
                <c:pt idx="6">
                  <c:v>2.1379205557581056E-2</c:v>
                </c:pt>
                <c:pt idx="7">
                  <c:v>5.0949706896183E-2</c:v>
                </c:pt>
                <c:pt idx="8">
                  <c:v>2.2795750679038976E-3</c:v>
                </c:pt>
                <c:pt idx="9">
                  <c:v>3.2933014187958749E-2</c:v>
                </c:pt>
                <c:pt idx="10">
                  <c:v>1.8892730131101324E-2</c:v>
                </c:pt>
                <c:pt idx="11">
                  <c:v>7.2468592455478403E-2</c:v>
                </c:pt>
                <c:pt idx="12">
                  <c:v>9.9678860671230649E-2</c:v>
                </c:pt>
                <c:pt idx="13">
                  <c:v>6.3670460557288991E-2</c:v>
                </c:pt>
                <c:pt idx="14">
                  <c:v>1.9377547562074184E-2</c:v>
                </c:pt>
                <c:pt idx="15">
                  <c:v>0.1664338732287815</c:v>
                </c:pt>
              </c:numCache>
            </c:numRef>
          </c:val>
          <c:extLst>
            <c:ext xmlns:c16="http://schemas.microsoft.com/office/drawing/2014/chart" uri="{C3380CC4-5D6E-409C-BE32-E72D297353CC}">
              <c16:uniqueId val="{00000020-C644-46E3-A43D-83455546BEC4}"/>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accent6">
        <a:lumMod val="20000"/>
        <a:lumOff val="80000"/>
      </a:schemeClr>
    </a:solidFill>
    <a:ln w="25400" cap="flat" cmpd="sng" algn="ctr">
      <a:solidFill>
        <a:schemeClr val="accent6">
          <a:lumMod val="75000"/>
        </a:schemeClr>
      </a:solidFill>
      <a:prstDash val="lgDash"/>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[Dashboard - DAV Transportation Cost.xlsm]CALCULATION- DÀI!chi phí- dài</c:name>
    <c:fmtId val="2"/>
  </c:pivotSource>
  <c:chart>
    <c:title>
      <c:tx>
        <c:rich>
          <a:bodyPr rot="0" spcFirstLastPara="1" vertOverflow="ellipsis" vert="horz" wrap="square" anchor="ctr" anchorCtr="1"/>
          <a:lstStyle/>
          <a:p>
            <a:pPr>
              <a:defRPr sz="1800" b="0" i="0" u="none" strike="noStrike" kern="1200" spc="0" baseline="0">
                <a:solidFill>
                  <a:schemeClr val="accent5">
                    <a:lumMod val="50000"/>
                  </a:schemeClr>
                </a:solidFill>
                <a:latin typeface="UTM Bebas" panose="02040603050506020204" pitchFamily="18" charset="0"/>
                <a:ea typeface="+mn-ea"/>
                <a:cs typeface="+mn-cs"/>
              </a:defRPr>
            </a:pPr>
            <a:r>
              <a:rPr lang="en-US" sz="1800" b="0">
                <a:solidFill>
                  <a:schemeClr val="accent5">
                    <a:lumMod val="50000"/>
                  </a:schemeClr>
                </a:solidFill>
                <a:latin typeface="UTM Bebas" panose="02040603050506020204" pitchFamily="18" charset="0"/>
              </a:rPr>
              <a:t>COST</a:t>
            </a:r>
            <a:r>
              <a:rPr lang="en-US" sz="1800" b="0" baseline="0">
                <a:solidFill>
                  <a:schemeClr val="accent5">
                    <a:lumMod val="50000"/>
                  </a:schemeClr>
                </a:solidFill>
                <a:latin typeface="UTM Bebas" panose="02040603050506020204" pitchFamily="18" charset="0"/>
              </a:rPr>
              <a:t> USING BY MONTH</a:t>
            </a:r>
            <a:endParaRPr lang="en-US" sz="1800" b="0">
              <a:solidFill>
                <a:schemeClr val="accent5">
                  <a:lumMod val="50000"/>
                </a:schemeClr>
              </a:solidFill>
              <a:latin typeface="UTM Bebas" panose="02040603050506020204" pitchFamily="18" charset="0"/>
            </a:endParaRPr>
          </a:p>
        </c:rich>
      </c:tx>
      <c:overlay val="0"/>
      <c:spPr>
        <a:noFill/>
        <a:ln>
          <a:noFill/>
        </a:ln>
        <a:effectLst/>
      </c:spPr>
      <c:txPr>
        <a:bodyPr rot="0" spcFirstLastPara="1" vertOverflow="ellipsis" vert="horz" wrap="square" anchor="ctr" anchorCtr="1"/>
        <a:lstStyle/>
        <a:p>
          <a:pPr>
            <a:defRPr sz="1800" b="0" i="0" u="none" strike="noStrike" kern="1200" spc="0" baseline="0">
              <a:solidFill>
                <a:schemeClr val="accent5">
                  <a:lumMod val="50000"/>
                </a:schemeClr>
              </a:solidFill>
              <a:latin typeface="UTM Bebas" panose="02040603050506020204" pitchFamily="18" charset="0"/>
              <a:ea typeface="+mn-ea"/>
              <a:cs typeface="+mn-cs"/>
            </a:defRPr>
          </a:pPr>
          <a:endParaRPr lang="en-US"/>
        </a:p>
      </c:txPr>
    </c:title>
    <c:autoTitleDeleted val="0"/>
    <c:pivotFmts>
      <c:pivotFmt>
        <c:idx val="0"/>
        <c:spPr>
          <a:solidFill>
            <a:schemeClr val="accent1"/>
          </a:solidFill>
          <a:ln w="28575" cap="rnd">
            <a:solidFill>
              <a:schemeClr val="accent2">
                <a:lumMod val="60000"/>
                <a:lumOff val="40000"/>
              </a:schemeClr>
            </a:solidFill>
            <a:round/>
          </a:ln>
          <a:effectLst/>
        </c:spPr>
        <c:marker>
          <c:symbol val="none"/>
        </c:marker>
      </c:pivotFmt>
      <c:pivotFmt>
        <c:idx val="1"/>
        <c:spPr>
          <a:solidFill>
            <a:schemeClr val="accent1"/>
          </a:solidFill>
          <a:ln w="28575" cap="rnd">
            <a:solidFill>
              <a:schemeClr val="accent2"/>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accent2"/>
                  </a:solidFill>
                  <a:latin typeface="+mn-lt"/>
                  <a:ea typeface="+mn-ea"/>
                  <a:cs typeface="+mn-cs"/>
                </a:defRPr>
              </a:pPr>
              <a:endParaRPr lang="en-US"/>
            </a:p>
          </c:txPr>
          <c:showLegendKey val="0"/>
          <c:showVal val="0"/>
          <c:showCatName val="0"/>
          <c:showSerName val="1"/>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5">
                <a:lumMod val="75000"/>
              </a:schemeClr>
            </a:solidFill>
            <a:round/>
          </a:ln>
          <a:effectLst/>
        </c:spPr>
        <c:marker>
          <c:symbol val="none"/>
        </c:marker>
      </c:pivotFmt>
      <c:pivotFmt>
        <c:idx val="3"/>
        <c:spPr>
          <a:solidFill>
            <a:schemeClr val="accent1"/>
          </a:solidFill>
          <a:ln w="28575" cap="rnd">
            <a:solidFill>
              <a:schemeClr val="accent2"/>
            </a:solidFill>
            <a:round/>
          </a:ln>
          <a:effectLst/>
        </c:spPr>
        <c:marker>
          <c:symbol val="none"/>
        </c:marker>
        <c:dLbl>
          <c:idx val="0"/>
          <c:layout>
            <c:manualLayout>
              <c:x val="-9.1666666666666688E-2"/>
              <c:y val="-2.7777777777777783E-2"/>
            </c:manualLayout>
          </c:layout>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accent2"/>
                  </a:solidFill>
                  <a:latin typeface="+mn-lt"/>
                  <a:ea typeface="+mn-ea"/>
                  <a:cs typeface="+mn-cs"/>
                </a:defRPr>
              </a:pPr>
              <a:endParaRPr lang="en-US"/>
            </a:p>
          </c:txPr>
          <c:showLegendKey val="0"/>
          <c:showVal val="0"/>
          <c:showCatName val="0"/>
          <c:showSerName val="1"/>
          <c:showPercent val="0"/>
          <c:showBubbleSize val="0"/>
          <c:extLst>
            <c:ext xmlns:c15="http://schemas.microsoft.com/office/drawing/2012/chart" uri="{CE6537A1-D6FC-4f65-9D91-7224C49458BB}"/>
          </c:extLst>
        </c:dLbl>
      </c:pivotFmt>
      <c:pivotFmt>
        <c:idx val="4"/>
        <c:spPr>
          <a:solidFill>
            <a:schemeClr val="accent1"/>
          </a:solidFill>
          <a:ln w="28575" cap="rnd">
            <a:solidFill>
              <a:schemeClr val="accent2"/>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accent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2"/>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accent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5">
                <a:lumMod val="75000"/>
              </a:schemeClr>
            </a:solidFill>
            <a:round/>
          </a:ln>
          <a:effectLst/>
        </c:spPr>
        <c:marker>
          <c:symbol val="none"/>
        </c:marker>
      </c:pivotFmt>
      <c:pivotFmt>
        <c:idx val="7"/>
        <c:spPr>
          <a:solidFill>
            <a:schemeClr val="accent1"/>
          </a:solidFill>
          <a:ln w="28575" cap="rnd">
            <a:solidFill>
              <a:schemeClr val="accent5">
                <a:lumMod val="75000"/>
              </a:schemeClr>
            </a:solidFill>
            <a:round/>
          </a:ln>
          <a:effectLst/>
        </c:spPr>
        <c:marker>
          <c:symbol val="none"/>
        </c:marker>
      </c:pivotFmt>
      <c:pivotFmt>
        <c:idx val="8"/>
        <c:spPr>
          <a:solidFill>
            <a:schemeClr val="accent1"/>
          </a:solidFill>
          <a:ln w="28575" cap="rnd">
            <a:solidFill>
              <a:schemeClr val="accent5">
                <a:lumMod val="75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accent5">
                      <a:lumMod val="75000"/>
                    </a:schemeClr>
                  </a:solidFill>
                  <a:latin typeface="+mn-lt"/>
                  <a:ea typeface="+mn-ea"/>
                  <a:cs typeface="+mn-cs"/>
                </a:defRPr>
              </a:pPr>
              <a:endParaRPr lang="en-US"/>
            </a:p>
          </c:txPr>
          <c:dLblPos val="t"/>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2">
                <a:lumMod val="60000"/>
                <a:lumOff val="40000"/>
              </a:schemeClr>
            </a:solidFill>
            <a:round/>
          </a:ln>
          <a:effectLst/>
        </c:spPr>
        <c:marker>
          <c:symbol val="none"/>
        </c:marker>
      </c:pivotFmt>
      <c:pivotFmt>
        <c:idx val="10"/>
        <c:spPr>
          <a:solidFill>
            <a:schemeClr val="accent1"/>
          </a:solidFill>
          <a:ln w="28575" cap="rnd">
            <a:solidFill>
              <a:schemeClr val="accent2">
                <a:lumMod val="60000"/>
                <a:lumOff val="4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accent2">
                      <a:lumMod val="60000"/>
                      <a:lumOff val="40000"/>
                    </a:schemeClr>
                  </a:solidFill>
                  <a:latin typeface="+mn-lt"/>
                  <a:ea typeface="+mn-ea"/>
                  <a:cs typeface="+mn-cs"/>
                </a:defRPr>
              </a:pPr>
              <a:endParaRPr lang="en-US"/>
            </a:p>
          </c:txPr>
          <c:dLblPos val="t"/>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chemeClr val="accent2">
                <a:lumMod val="60000"/>
                <a:lumOff val="4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accent2">
                      <a:lumMod val="60000"/>
                      <a:lumOff val="40000"/>
                    </a:schemeClr>
                  </a:solidFill>
                  <a:latin typeface="+mn-lt"/>
                  <a:ea typeface="+mn-ea"/>
                  <a:cs typeface="+mn-cs"/>
                </a:defRPr>
              </a:pPr>
              <a:endParaRPr lang="en-US"/>
            </a:p>
          </c:txPr>
          <c:dLblPos val="t"/>
          <c:showLegendKey val="0"/>
          <c:showVal val="0"/>
          <c:showCatName val="0"/>
          <c:showSerName val="1"/>
          <c:showPercent val="0"/>
          <c:showBubbleSize val="0"/>
          <c:extLst>
            <c:ext xmlns:c15="http://schemas.microsoft.com/office/drawing/2012/chart" uri="{CE6537A1-D6FC-4f65-9D91-7224C49458BB}"/>
          </c:extLst>
        </c:dLbl>
      </c:pivotFmt>
      <c:pivotFmt>
        <c:idx val="12"/>
        <c:spPr>
          <a:solidFill>
            <a:schemeClr val="accent1"/>
          </a:solidFill>
          <a:ln w="28575" cap="rnd">
            <a:solidFill>
              <a:schemeClr val="accent2">
                <a:lumMod val="60000"/>
                <a:lumOff val="4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accent2">
                      <a:lumMod val="60000"/>
                      <a:lumOff val="40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2">
                <a:lumMod val="60000"/>
                <a:lumOff val="4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accent2">
                      <a:lumMod val="60000"/>
                      <a:lumOff val="40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accent2"/>
                  </a:solidFill>
                  <a:latin typeface="+mn-lt"/>
                  <a:ea typeface="+mn-ea"/>
                  <a:cs typeface="+mn-cs"/>
                </a:defRPr>
              </a:pPr>
              <a:endParaRPr lang="en-US"/>
            </a:p>
          </c:txPr>
          <c:showLegendKey val="0"/>
          <c:showVal val="0"/>
          <c:showCatName val="0"/>
          <c:showSerName val="1"/>
          <c:showPercent val="0"/>
          <c:showBubbleSize val="0"/>
          <c:extLst>
            <c:ext xmlns:c15="http://schemas.microsoft.com/office/drawing/2012/chart" uri="{CE6537A1-D6FC-4f65-9D91-7224C49458BB}"/>
          </c:extLst>
        </c:dLbl>
      </c:pivotFmt>
      <c:pivotFmt>
        <c:idx val="15"/>
        <c:spPr>
          <a:solidFill>
            <a:schemeClr val="accent1"/>
          </a:solidFill>
          <a:ln w="28575" cap="rnd">
            <a:solidFill>
              <a:schemeClr val="accent2"/>
            </a:solidFill>
            <a:round/>
          </a:ln>
          <a:effectLst/>
        </c:spPr>
        <c:marker>
          <c:symbol val="none"/>
        </c:marker>
        <c:dLbl>
          <c:idx val="0"/>
          <c:layout>
            <c:manualLayout>
              <c:x val="-9.1666666666666688E-2"/>
              <c:y val="-2.7777777777777783E-2"/>
            </c:manualLayout>
          </c:layout>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accent2"/>
                  </a:solidFill>
                  <a:latin typeface="+mn-lt"/>
                  <a:ea typeface="+mn-ea"/>
                  <a:cs typeface="+mn-cs"/>
                </a:defRPr>
              </a:pPr>
              <a:endParaRPr lang="en-US"/>
            </a:p>
          </c:txPr>
          <c:showLegendKey val="0"/>
          <c:showVal val="0"/>
          <c:showCatName val="0"/>
          <c:showSerName val="1"/>
          <c:showPercent val="0"/>
          <c:showBubbleSize val="0"/>
          <c:extLst>
            <c:ext xmlns:c15="http://schemas.microsoft.com/office/drawing/2012/chart" uri="{CE6537A1-D6FC-4f65-9D91-7224C49458BB}"/>
          </c:extLst>
        </c:dLbl>
      </c:pivotFmt>
      <c:pivotFmt>
        <c:idx val="16"/>
        <c:spPr>
          <a:solidFill>
            <a:schemeClr val="accent1"/>
          </a:solidFill>
          <a:ln w="28575" cap="rnd">
            <a:solidFill>
              <a:schemeClr val="accent2"/>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accent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2"/>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accent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5">
                <a:lumMod val="75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accent5">
                      <a:lumMod val="75000"/>
                    </a:schemeClr>
                  </a:solidFill>
                  <a:latin typeface="+mn-lt"/>
                  <a:ea typeface="+mn-ea"/>
                  <a:cs typeface="+mn-cs"/>
                </a:defRPr>
              </a:pPr>
              <a:endParaRPr lang="en-US"/>
            </a:p>
          </c:txPr>
          <c:dLblPos val="t"/>
          <c:showLegendKey val="0"/>
          <c:showVal val="0"/>
          <c:showCatName val="0"/>
          <c:showSerName val="1"/>
          <c:showPercent val="0"/>
          <c:showBubbleSize val="0"/>
          <c:extLst>
            <c:ext xmlns:c15="http://schemas.microsoft.com/office/drawing/2012/chart" uri="{CE6537A1-D6FC-4f65-9D91-7224C49458BB}"/>
          </c:extLst>
        </c:dLbl>
      </c:pivotFmt>
      <c:pivotFmt>
        <c:idx val="19"/>
        <c:spPr>
          <a:solidFill>
            <a:schemeClr val="accent1"/>
          </a:solidFill>
          <a:ln w="28575" cap="rnd">
            <a:solidFill>
              <a:schemeClr val="accent5">
                <a:lumMod val="75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accent5">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1"/>
          </a:solidFill>
          <a:ln w="28575" cap="rnd">
            <a:solidFill>
              <a:schemeClr val="accent5">
                <a:lumMod val="75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accent5">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1"/>
        <c:spPr>
          <a:ln w="28575" cap="rnd">
            <a:solidFill>
              <a:schemeClr val="accent2">
                <a:lumMod val="60000"/>
                <a:lumOff val="4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accent2">
                      <a:lumMod val="60000"/>
                      <a:lumOff val="40000"/>
                    </a:schemeClr>
                  </a:solidFill>
                  <a:latin typeface="UTM Helve" panose="02040603050506020204" pitchFamily="18" charset="0"/>
                  <a:ea typeface="+mn-ea"/>
                  <a:cs typeface="+mn-cs"/>
                </a:defRPr>
              </a:pPr>
              <a:endParaRPr lang="en-US"/>
            </a:p>
          </c:txPr>
          <c:dLblPos val="t"/>
          <c:showLegendKey val="0"/>
          <c:showVal val="0"/>
          <c:showCatName val="0"/>
          <c:showSerName val="1"/>
          <c:showPercent val="0"/>
          <c:showBubbleSize val="0"/>
          <c:extLst>
            <c:ext xmlns:c15="http://schemas.microsoft.com/office/drawing/2012/chart" uri="{CE6537A1-D6FC-4f65-9D91-7224C49458BB}"/>
          </c:extLst>
        </c:dLbl>
      </c:pivotFmt>
      <c:pivotFmt>
        <c:idx val="22"/>
        <c:spPr>
          <a:ln w="28575" cap="rnd">
            <a:solidFill>
              <a:schemeClr val="accent2">
                <a:lumMod val="60000"/>
                <a:lumOff val="4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accent2">
                      <a:lumMod val="60000"/>
                      <a:lumOff val="40000"/>
                    </a:schemeClr>
                  </a:solidFill>
                  <a:latin typeface="UTM Helve" panose="02040603050506020204" pitchFamily="18"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3"/>
        <c:spPr>
          <a:ln w="28575" cap="rnd">
            <a:solidFill>
              <a:schemeClr val="accent2">
                <a:lumMod val="60000"/>
                <a:lumOff val="4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accent2">
                      <a:lumMod val="60000"/>
                      <a:lumOff val="40000"/>
                    </a:schemeClr>
                  </a:solidFill>
                  <a:latin typeface="UTM Helve" panose="02040603050506020204" pitchFamily="18"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4"/>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100" b="0" i="0" u="none" strike="noStrike" kern="1200" baseline="0">
                  <a:solidFill>
                    <a:schemeClr val="accent2"/>
                  </a:solidFill>
                  <a:latin typeface="UTM Helve" panose="02040603050506020204" pitchFamily="18" charset="0"/>
                  <a:ea typeface="+mn-ea"/>
                  <a:cs typeface="+mn-cs"/>
                </a:defRPr>
              </a:pPr>
              <a:endParaRPr lang="en-US"/>
            </a:p>
          </c:txPr>
          <c:showLegendKey val="0"/>
          <c:showVal val="0"/>
          <c:showCatName val="0"/>
          <c:showSerName val="1"/>
          <c:showPercent val="0"/>
          <c:showBubbleSize val="0"/>
          <c:extLst>
            <c:ext xmlns:c15="http://schemas.microsoft.com/office/drawing/2012/chart" uri="{CE6537A1-D6FC-4f65-9D91-7224C49458BB}"/>
          </c:extLst>
        </c:dLbl>
      </c:pivotFmt>
      <c:pivotFmt>
        <c:idx val="25"/>
        <c:spPr>
          <a:ln w="28575" cap="rnd">
            <a:solidFill>
              <a:schemeClr val="accent1"/>
            </a:solidFill>
            <a:round/>
          </a:ln>
          <a:effectLst/>
        </c:spPr>
        <c:marker>
          <c:symbol val="none"/>
        </c:marker>
        <c:dLbl>
          <c:idx val="0"/>
          <c:layout>
            <c:manualLayout>
              <c:x val="-9.1666666666666688E-2"/>
              <c:y val="-2.7777777777777783E-2"/>
            </c:manualLayout>
          </c:layout>
          <c:spPr>
            <a:noFill/>
            <a:ln>
              <a:noFill/>
            </a:ln>
            <a:effectLst/>
          </c:spPr>
          <c:txPr>
            <a:bodyPr rot="0" spcFirstLastPara="1" vertOverflow="ellipsis" vert="horz" wrap="square" lIns="38100" tIns="19050" rIns="38100" bIns="19050" anchor="ctr" anchorCtr="1">
              <a:spAutoFit/>
            </a:bodyPr>
            <a:lstStyle/>
            <a:p>
              <a:pPr>
                <a:defRPr sz="1100" b="0" i="0" u="none" strike="noStrike" kern="1200" baseline="0">
                  <a:solidFill>
                    <a:schemeClr val="accent2"/>
                  </a:solidFill>
                  <a:latin typeface="UTM Helve" panose="02040603050506020204" pitchFamily="18" charset="0"/>
                  <a:ea typeface="+mn-ea"/>
                  <a:cs typeface="+mn-cs"/>
                </a:defRPr>
              </a:pPr>
              <a:endParaRPr lang="en-US"/>
            </a:p>
          </c:txPr>
          <c:showLegendKey val="0"/>
          <c:showVal val="0"/>
          <c:showCatName val="0"/>
          <c:showSerName val="1"/>
          <c:showPercent val="0"/>
          <c:showBubbleSize val="0"/>
          <c:extLst>
            <c:ext xmlns:c15="http://schemas.microsoft.com/office/drawing/2012/chart" uri="{CE6537A1-D6FC-4f65-9D91-7224C49458BB}"/>
          </c:extLst>
        </c:dLbl>
      </c:pivotFmt>
      <c:pivotFmt>
        <c:idx val="26"/>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100" b="0" i="0" u="none" strike="noStrike" kern="1200" baseline="0">
                  <a:solidFill>
                    <a:schemeClr val="accent2"/>
                  </a:solidFill>
                  <a:latin typeface="UTM Helve" panose="02040603050506020204" pitchFamily="18"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7"/>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100" b="0" i="0" u="none" strike="noStrike" kern="1200" baseline="0">
                  <a:solidFill>
                    <a:schemeClr val="accent2"/>
                  </a:solidFill>
                  <a:latin typeface="UTM Helve" panose="02040603050506020204" pitchFamily="18"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8"/>
        <c:spPr>
          <a:ln w="28575" cap="rnd">
            <a:solidFill>
              <a:schemeClr val="accent5">
                <a:lumMod val="75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accent5">
                      <a:lumMod val="75000"/>
                    </a:schemeClr>
                  </a:solidFill>
                  <a:latin typeface="+mn-lt"/>
                  <a:ea typeface="+mn-ea"/>
                  <a:cs typeface="+mn-cs"/>
                </a:defRPr>
              </a:pPr>
              <a:endParaRPr lang="en-US"/>
            </a:p>
          </c:txPr>
          <c:dLblPos val="t"/>
          <c:showLegendKey val="0"/>
          <c:showVal val="0"/>
          <c:showCatName val="0"/>
          <c:showSerName val="1"/>
          <c:showPercent val="0"/>
          <c:showBubbleSize val="0"/>
          <c:extLst>
            <c:ext xmlns:c15="http://schemas.microsoft.com/office/drawing/2012/chart" uri="{CE6537A1-D6FC-4f65-9D91-7224C49458BB}"/>
          </c:extLst>
        </c:dLbl>
      </c:pivotFmt>
      <c:pivotFmt>
        <c:idx val="29"/>
        <c:spPr>
          <a:ln w="28575" cap="rnd">
            <a:solidFill>
              <a:schemeClr val="accent5">
                <a:lumMod val="75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accent5">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0"/>
        <c:spPr>
          <a:ln w="28575" cap="rnd">
            <a:solidFill>
              <a:schemeClr val="accent5">
                <a:lumMod val="75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accent5">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1"/>
        <c:spPr>
          <a:ln w="28575" cap="rnd">
            <a:solidFill>
              <a:schemeClr val="accent5">
                <a:lumMod val="75000"/>
              </a:schemeClr>
            </a:solidFill>
            <a:round/>
          </a:ln>
          <a:effectLst/>
        </c:spPr>
        <c:marker>
          <c:symbol val="none"/>
        </c:marker>
      </c:pivotFmt>
    </c:pivotFmts>
    <c:plotArea>
      <c:layout/>
      <c:lineChart>
        <c:grouping val="standard"/>
        <c:varyColors val="0"/>
        <c:ser>
          <c:idx val="0"/>
          <c:order val="0"/>
          <c:tx>
            <c:strRef>
              <c:f>'CALCULATION- DÀI'!$B$3:$B$4</c:f>
              <c:strCache>
                <c:ptCount val="1"/>
                <c:pt idx="0">
                  <c:v>DN</c:v>
                </c:pt>
              </c:strCache>
            </c:strRef>
          </c:tx>
          <c:spPr>
            <a:ln w="28575" cap="rnd">
              <a:solidFill>
                <a:schemeClr val="accent2">
                  <a:lumMod val="60000"/>
                  <a:lumOff val="40000"/>
                </a:schemeClr>
              </a:solidFill>
              <a:round/>
            </a:ln>
            <a:effectLst/>
          </c:spPr>
          <c:marker>
            <c:symbol val="none"/>
          </c:marker>
          <c:dPt>
            <c:idx val="1"/>
            <c:marker>
              <c:symbol val="none"/>
            </c:marker>
            <c:bubble3D val="0"/>
            <c:extLst>
              <c:ext xmlns:c16="http://schemas.microsoft.com/office/drawing/2014/chart" uri="{C3380CC4-5D6E-409C-BE32-E72D297353CC}">
                <c16:uniqueId val="{00000000-C9E5-47DF-AF5D-00AAA66B761E}"/>
              </c:ext>
            </c:extLst>
          </c:dPt>
          <c:dPt>
            <c:idx val="2"/>
            <c:marker>
              <c:symbol val="none"/>
            </c:marker>
            <c:bubble3D val="0"/>
            <c:extLst>
              <c:ext xmlns:c16="http://schemas.microsoft.com/office/drawing/2014/chart" uri="{C3380CC4-5D6E-409C-BE32-E72D297353CC}">
                <c16:uniqueId val="{00000001-C9E5-47DF-AF5D-00AAA66B761E}"/>
              </c:ext>
            </c:extLst>
          </c:dPt>
          <c:dLbls>
            <c:dLbl>
              <c:idx val="1"/>
              <c:delete val="1"/>
              <c:extLst>
                <c:ext xmlns:c15="http://schemas.microsoft.com/office/drawing/2012/chart" uri="{CE6537A1-D6FC-4f65-9D91-7224C49458BB}"/>
                <c:ext xmlns:c16="http://schemas.microsoft.com/office/drawing/2014/chart" uri="{C3380CC4-5D6E-409C-BE32-E72D297353CC}">
                  <c16:uniqueId val="{00000000-C9E5-47DF-AF5D-00AAA66B761E}"/>
                </c:ext>
              </c:extLst>
            </c:dLbl>
            <c:dLbl>
              <c:idx val="2"/>
              <c:delete val="1"/>
              <c:extLst>
                <c:ext xmlns:c15="http://schemas.microsoft.com/office/drawing/2012/chart" uri="{CE6537A1-D6FC-4f65-9D91-7224C49458BB}"/>
                <c:ext xmlns:c16="http://schemas.microsoft.com/office/drawing/2014/chart" uri="{C3380CC4-5D6E-409C-BE32-E72D297353CC}">
                  <c16:uniqueId val="{00000001-C9E5-47DF-AF5D-00AAA66B761E}"/>
                </c:ext>
              </c:extLst>
            </c:dLbl>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accent2">
                        <a:lumMod val="60000"/>
                        <a:lumOff val="40000"/>
                      </a:schemeClr>
                    </a:solidFill>
                    <a:latin typeface="UTM Helve" panose="02040603050506020204" pitchFamily="18" charset="0"/>
                    <a:ea typeface="+mn-ea"/>
                    <a:cs typeface="+mn-cs"/>
                  </a:defRPr>
                </a:pPr>
                <a:endParaRPr lang="en-US"/>
              </a:p>
            </c:txPr>
            <c:dLblPos val="t"/>
            <c:showLegendKey val="0"/>
            <c:showVal val="0"/>
            <c:showCatName val="0"/>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'CALCULATION- DÀI'!$A$5:$A$8</c:f>
              <c:strCache>
                <c:ptCount val="3"/>
                <c:pt idx="0">
                  <c:v>4</c:v>
                </c:pt>
                <c:pt idx="1">
                  <c:v>5</c:v>
                </c:pt>
                <c:pt idx="2">
                  <c:v>6</c:v>
                </c:pt>
              </c:strCache>
            </c:strRef>
          </c:cat>
          <c:val>
            <c:numRef>
              <c:f>'CALCULATION- DÀI'!$B$5:$B$8</c:f>
              <c:numCache>
                <c:formatCode>_(* #,##0.00_);_(* \(#,##0.00\);_(* "-"??_);_(@_)</c:formatCode>
                <c:ptCount val="3"/>
                <c:pt idx="0">
                  <c:v>37576000</c:v>
                </c:pt>
                <c:pt idx="1">
                  <c:v>86907000</c:v>
                </c:pt>
                <c:pt idx="2">
                  <c:v>16948000</c:v>
                </c:pt>
              </c:numCache>
            </c:numRef>
          </c:val>
          <c:smooth val="0"/>
          <c:extLst>
            <c:ext xmlns:c16="http://schemas.microsoft.com/office/drawing/2014/chart" uri="{C3380CC4-5D6E-409C-BE32-E72D297353CC}">
              <c16:uniqueId val="{00000002-C9E5-47DF-AF5D-00AAA66B761E}"/>
            </c:ext>
          </c:extLst>
        </c:ser>
        <c:ser>
          <c:idx val="1"/>
          <c:order val="1"/>
          <c:tx>
            <c:strRef>
              <c:f>'CALCULATION- DÀI'!$C$3:$C$4</c:f>
              <c:strCache>
                <c:ptCount val="1"/>
                <c:pt idx="0">
                  <c:v>HCM</c:v>
                </c:pt>
              </c:strCache>
            </c:strRef>
          </c:tx>
          <c:spPr>
            <a:ln w="28575" cap="rnd">
              <a:solidFill>
                <a:schemeClr val="accent2"/>
              </a:solidFill>
              <a:round/>
            </a:ln>
            <a:effectLst/>
          </c:spPr>
          <c:marker>
            <c:symbol val="none"/>
          </c:marker>
          <c:dPt>
            <c:idx val="0"/>
            <c:marker>
              <c:symbol val="none"/>
            </c:marker>
            <c:bubble3D val="0"/>
            <c:extLst>
              <c:ext xmlns:c16="http://schemas.microsoft.com/office/drawing/2014/chart" uri="{C3380CC4-5D6E-409C-BE32-E72D297353CC}">
                <c16:uniqueId val="{00000000-FCA0-4907-88BC-4E54198DACA2}"/>
              </c:ext>
            </c:extLst>
          </c:dPt>
          <c:dPt>
            <c:idx val="1"/>
            <c:marker>
              <c:symbol val="none"/>
            </c:marker>
            <c:bubble3D val="0"/>
            <c:extLst>
              <c:ext xmlns:c16="http://schemas.microsoft.com/office/drawing/2014/chart" uri="{C3380CC4-5D6E-409C-BE32-E72D297353CC}">
                <c16:uniqueId val="{00000001-FCA0-4907-88BC-4E54198DACA2}"/>
              </c:ext>
            </c:extLst>
          </c:dPt>
          <c:dPt>
            <c:idx val="2"/>
            <c:marker>
              <c:symbol val="none"/>
            </c:marker>
            <c:bubble3D val="0"/>
            <c:extLst>
              <c:ext xmlns:c16="http://schemas.microsoft.com/office/drawing/2014/chart" uri="{C3380CC4-5D6E-409C-BE32-E72D297353CC}">
                <c16:uniqueId val="{00000002-FCA0-4907-88BC-4E54198DACA2}"/>
              </c:ext>
            </c:extLst>
          </c:dPt>
          <c:dLbls>
            <c:dLbl>
              <c:idx val="0"/>
              <c:layout>
                <c:manualLayout>
                  <c:x val="-9.1666666666666688E-2"/>
                  <c:y val="-2.7777777777777783E-2"/>
                </c:manualLayout>
              </c:layout>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0-FCA0-4907-88BC-4E54198DACA2}"/>
                </c:ext>
              </c:extLst>
            </c:dLbl>
            <c:dLbl>
              <c:idx val="1"/>
              <c:delete val="1"/>
              <c:extLst>
                <c:ext xmlns:c15="http://schemas.microsoft.com/office/drawing/2012/chart" uri="{CE6537A1-D6FC-4f65-9D91-7224C49458BB}"/>
                <c:ext xmlns:c16="http://schemas.microsoft.com/office/drawing/2014/chart" uri="{C3380CC4-5D6E-409C-BE32-E72D297353CC}">
                  <c16:uniqueId val="{00000001-FCA0-4907-88BC-4E54198DACA2}"/>
                </c:ext>
              </c:extLst>
            </c:dLbl>
            <c:dLbl>
              <c:idx val="2"/>
              <c:delete val="1"/>
              <c:extLst>
                <c:ext xmlns:c15="http://schemas.microsoft.com/office/drawing/2012/chart" uri="{CE6537A1-D6FC-4f65-9D91-7224C49458BB}"/>
                <c:ext xmlns:c16="http://schemas.microsoft.com/office/drawing/2014/chart" uri="{C3380CC4-5D6E-409C-BE32-E72D297353CC}">
                  <c16:uniqueId val="{00000002-FCA0-4907-88BC-4E54198DACA2}"/>
                </c:ext>
              </c:extLst>
            </c:dLbl>
            <c:spPr>
              <a:noFill/>
              <a:ln>
                <a:noFill/>
              </a:ln>
              <a:effectLst/>
            </c:spPr>
            <c:txPr>
              <a:bodyPr rot="0" spcFirstLastPara="1" vertOverflow="ellipsis" vert="horz" wrap="square" lIns="38100" tIns="19050" rIns="38100" bIns="19050" anchor="ctr" anchorCtr="1">
                <a:spAutoFit/>
              </a:bodyPr>
              <a:lstStyle/>
              <a:p>
                <a:pPr>
                  <a:defRPr sz="1100" b="0" i="0" u="none" strike="noStrike" kern="1200" baseline="0">
                    <a:solidFill>
                      <a:schemeClr val="accent2"/>
                    </a:solidFill>
                    <a:latin typeface="UTM Helve" panose="02040603050506020204" pitchFamily="18" charset="0"/>
                    <a:ea typeface="+mn-ea"/>
                    <a:cs typeface="+mn-cs"/>
                  </a:defRPr>
                </a:pPr>
                <a:endParaRPr lang="en-US"/>
              </a:p>
            </c:txPr>
            <c:showLegendKey val="0"/>
            <c:showVal val="0"/>
            <c:showCatName val="0"/>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'CALCULATION- DÀI'!$A$5:$A$8</c:f>
              <c:strCache>
                <c:ptCount val="3"/>
                <c:pt idx="0">
                  <c:v>4</c:v>
                </c:pt>
                <c:pt idx="1">
                  <c:v>5</c:v>
                </c:pt>
                <c:pt idx="2">
                  <c:v>6</c:v>
                </c:pt>
              </c:strCache>
            </c:strRef>
          </c:cat>
          <c:val>
            <c:numRef>
              <c:f>'CALCULATION- DÀI'!$C$5:$C$8</c:f>
              <c:numCache>
                <c:formatCode>_(* #,##0.00_);_(* \(#,##0.00\);_(* "-"??_);_(@_)</c:formatCode>
                <c:ptCount val="3"/>
                <c:pt idx="0">
                  <c:v>758008282.81868291</c:v>
                </c:pt>
                <c:pt idx="1">
                  <c:v>631720715.50957608</c:v>
                </c:pt>
                <c:pt idx="2">
                  <c:v>468671972.097956</c:v>
                </c:pt>
              </c:numCache>
            </c:numRef>
          </c:val>
          <c:smooth val="0"/>
          <c:extLst>
            <c:ext xmlns:c16="http://schemas.microsoft.com/office/drawing/2014/chart" uri="{C3380CC4-5D6E-409C-BE32-E72D297353CC}">
              <c16:uniqueId val="{00000013-C9E5-47DF-AF5D-00AAA66B761E}"/>
            </c:ext>
          </c:extLst>
        </c:ser>
        <c:ser>
          <c:idx val="2"/>
          <c:order val="2"/>
          <c:tx>
            <c:strRef>
              <c:f>'CALCULATION- DÀI'!$D$3:$D$4</c:f>
              <c:strCache>
                <c:ptCount val="1"/>
                <c:pt idx="0">
                  <c:v>HN</c:v>
                </c:pt>
              </c:strCache>
            </c:strRef>
          </c:tx>
          <c:spPr>
            <a:ln w="28575" cap="rnd">
              <a:solidFill>
                <a:schemeClr val="accent5">
                  <a:lumMod val="75000"/>
                </a:schemeClr>
              </a:solidFill>
              <a:round/>
            </a:ln>
            <a:effectLst/>
          </c:spPr>
          <c:marker>
            <c:symbol val="none"/>
          </c:marker>
          <c:dPt>
            <c:idx val="1"/>
            <c:marker>
              <c:symbol val="none"/>
            </c:marker>
            <c:bubble3D val="0"/>
            <c:extLst>
              <c:ext xmlns:c16="http://schemas.microsoft.com/office/drawing/2014/chart" uri="{C3380CC4-5D6E-409C-BE32-E72D297353CC}">
                <c16:uniqueId val="{00000003-FCA0-4907-88BC-4E54198DACA2}"/>
              </c:ext>
            </c:extLst>
          </c:dPt>
          <c:dPt>
            <c:idx val="2"/>
            <c:marker>
              <c:symbol val="none"/>
            </c:marker>
            <c:bubble3D val="0"/>
            <c:extLst>
              <c:ext xmlns:c16="http://schemas.microsoft.com/office/drawing/2014/chart" uri="{C3380CC4-5D6E-409C-BE32-E72D297353CC}">
                <c16:uniqueId val="{00000004-FCA0-4907-88BC-4E54198DACA2}"/>
              </c:ext>
            </c:extLst>
          </c:dPt>
          <c:dLbls>
            <c:dLbl>
              <c:idx val="1"/>
              <c:delete val="1"/>
              <c:extLst>
                <c:ext xmlns:c15="http://schemas.microsoft.com/office/drawing/2012/chart" uri="{CE6537A1-D6FC-4f65-9D91-7224C49458BB}"/>
                <c:ext xmlns:c16="http://schemas.microsoft.com/office/drawing/2014/chart" uri="{C3380CC4-5D6E-409C-BE32-E72D297353CC}">
                  <c16:uniqueId val="{00000003-FCA0-4907-88BC-4E54198DACA2}"/>
                </c:ext>
              </c:extLst>
            </c:dLbl>
            <c:dLbl>
              <c:idx val="2"/>
              <c:delete val="1"/>
              <c:extLst>
                <c:ext xmlns:c15="http://schemas.microsoft.com/office/drawing/2012/chart" uri="{CE6537A1-D6FC-4f65-9D91-7224C49458BB}"/>
                <c:ext xmlns:c16="http://schemas.microsoft.com/office/drawing/2014/chart" uri="{C3380CC4-5D6E-409C-BE32-E72D297353CC}">
                  <c16:uniqueId val="{00000004-FCA0-4907-88BC-4E54198DACA2}"/>
                </c:ext>
              </c:extLst>
            </c:dLbl>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accent5">
                        <a:lumMod val="75000"/>
                      </a:schemeClr>
                    </a:solidFill>
                    <a:latin typeface="+mn-lt"/>
                    <a:ea typeface="+mn-ea"/>
                    <a:cs typeface="+mn-cs"/>
                  </a:defRPr>
                </a:pPr>
                <a:endParaRPr lang="en-US"/>
              </a:p>
            </c:txPr>
            <c:dLblPos val="t"/>
            <c:showLegendKey val="0"/>
            <c:showVal val="0"/>
            <c:showCatName val="0"/>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'CALCULATION- DÀI'!$A$5:$A$8</c:f>
              <c:strCache>
                <c:ptCount val="3"/>
                <c:pt idx="0">
                  <c:v>4</c:v>
                </c:pt>
                <c:pt idx="1">
                  <c:v>5</c:v>
                </c:pt>
                <c:pt idx="2">
                  <c:v>6</c:v>
                </c:pt>
              </c:strCache>
            </c:strRef>
          </c:cat>
          <c:val>
            <c:numRef>
              <c:f>'CALCULATION- DÀI'!$D$5:$D$8</c:f>
              <c:numCache>
                <c:formatCode>_(* #,##0.00_);_(* \(#,##0.00\);_(* "-"??_);_(@_)</c:formatCode>
                <c:ptCount val="3"/>
                <c:pt idx="0">
                  <c:v>221062000</c:v>
                </c:pt>
                <c:pt idx="1">
                  <c:v>360541000</c:v>
                </c:pt>
                <c:pt idx="2">
                  <c:v>84714000</c:v>
                </c:pt>
              </c:numCache>
            </c:numRef>
          </c:val>
          <c:smooth val="0"/>
          <c:extLst>
            <c:ext xmlns:c16="http://schemas.microsoft.com/office/drawing/2014/chart" uri="{C3380CC4-5D6E-409C-BE32-E72D297353CC}">
              <c16:uniqueId val="{00000014-C9E5-47DF-AF5D-00AAA66B761E}"/>
            </c:ext>
          </c:extLst>
        </c:ser>
        <c:dLbls>
          <c:showLegendKey val="0"/>
          <c:showVal val="0"/>
          <c:showCatName val="0"/>
          <c:showSerName val="0"/>
          <c:showPercent val="0"/>
          <c:showBubbleSize val="0"/>
        </c:dLbls>
        <c:smooth val="0"/>
        <c:axId val="472973167"/>
        <c:axId val="472982287"/>
      </c:lineChart>
      <c:catAx>
        <c:axId val="47297316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Arial Narrow" panose="020B0606020202030204" pitchFamily="34" charset="0"/>
                <a:ea typeface="+mn-ea"/>
                <a:cs typeface="+mn-cs"/>
              </a:defRPr>
            </a:pPr>
            <a:endParaRPr lang="en-US"/>
          </a:p>
        </c:txPr>
        <c:crossAx val="472982287"/>
        <c:crosses val="autoZero"/>
        <c:auto val="1"/>
        <c:lblAlgn val="ctr"/>
        <c:lblOffset val="100"/>
        <c:noMultiLvlLbl val="0"/>
      </c:catAx>
      <c:valAx>
        <c:axId val="472982287"/>
        <c:scaling>
          <c:orientation val="minMax"/>
        </c:scaling>
        <c:delete val="0"/>
        <c:axPos val="l"/>
        <c:numFmt formatCode="_(* #,##0.00_);_(* \(#,##0.00\);_(*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Arial Narrow" panose="020B0606020202030204" pitchFamily="34" charset="0"/>
                <a:ea typeface="+mn-ea"/>
                <a:cs typeface="+mn-cs"/>
              </a:defRPr>
            </a:pPr>
            <a:endParaRPr lang="en-US"/>
          </a:p>
        </c:txPr>
        <c:crossAx val="472973167"/>
        <c:crosses val="autoZero"/>
        <c:crossBetween val="between"/>
        <c:dispUnits>
          <c:builtInUnit val="millions"/>
          <c:dispUnitsLbl>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Arial Narrow" panose="020B0606020202030204" pitchFamily="34" charset="0"/>
                    <a:ea typeface="+mn-ea"/>
                    <a:cs typeface="+mn-cs"/>
                  </a:defRPr>
                </a:pPr>
                <a:endParaRPr lang="en-US"/>
              </a:p>
            </c:txPr>
          </c:dispUnitsLbl>
        </c:dispUnits>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accent6">
        <a:lumMod val="20000"/>
        <a:lumOff val="80000"/>
      </a:schemeClr>
    </a:solidFill>
    <a:ln w="25400" cap="flat" cmpd="sng" algn="ctr">
      <a:solidFill>
        <a:schemeClr val="accent6">
          <a:lumMod val="75000"/>
        </a:schemeClr>
      </a:solidFill>
      <a:prstDash val="lgDash"/>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[Dashboard - DAV Transportation Cost.xlsm]CALCULATION- DÀI!tỉ lệ- dài</c:name>
    <c:fmtId val="2"/>
  </c:pivotSource>
  <c:chart>
    <c:title>
      <c:tx>
        <c:rich>
          <a:bodyPr rot="0" spcFirstLastPara="1" vertOverflow="ellipsis" vert="horz" wrap="square" anchor="ctr" anchorCtr="1"/>
          <a:lstStyle/>
          <a:p>
            <a:pPr>
              <a:defRPr sz="1600" b="0" i="0" u="none" strike="noStrike" kern="1200" spc="0" baseline="0">
                <a:solidFill>
                  <a:schemeClr val="accent5">
                    <a:lumMod val="50000"/>
                  </a:schemeClr>
                </a:solidFill>
                <a:latin typeface="UTM Bebas" panose="02040603050506020204" pitchFamily="18" charset="0"/>
                <a:ea typeface="+mn-ea"/>
                <a:cs typeface="+mn-cs"/>
              </a:defRPr>
            </a:pPr>
            <a:r>
              <a:rPr lang="en-US" sz="1600" b="0">
                <a:solidFill>
                  <a:schemeClr val="accent5">
                    <a:lumMod val="50000"/>
                  </a:schemeClr>
                </a:solidFill>
                <a:latin typeface="UTM Bebas" panose="02040603050506020204" pitchFamily="18" charset="0"/>
              </a:rPr>
              <a:t>RATIO</a:t>
            </a:r>
            <a:r>
              <a:rPr lang="en-US" sz="1600" b="0" baseline="0">
                <a:solidFill>
                  <a:schemeClr val="accent5">
                    <a:lumMod val="50000"/>
                  </a:schemeClr>
                </a:solidFill>
                <a:latin typeface="UTM Bebas" panose="02040603050506020204" pitchFamily="18" charset="0"/>
              </a:rPr>
              <a:t> Vendor USING</a:t>
            </a:r>
            <a:endParaRPr lang="en-US" sz="1600" b="0">
              <a:solidFill>
                <a:schemeClr val="accent5">
                  <a:lumMod val="50000"/>
                </a:schemeClr>
              </a:solidFill>
              <a:latin typeface="UTM Bebas" panose="02040603050506020204" pitchFamily="18" charset="0"/>
            </a:endParaRPr>
          </a:p>
        </c:rich>
      </c:tx>
      <c:overlay val="0"/>
      <c:spPr>
        <a:noFill/>
        <a:ln>
          <a:noFill/>
        </a:ln>
        <a:effectLst/>
      </c:spPr>
      <c:txPr>
        <a:bodyPr rot="0" spcFirstLastPara="1" vertOverflow="ellipsis" vert="horz" wrap="square" anchor="ctr" anchorCtr="1"/>
        <a:lstStyle/>
        <a:p>
          <a:pPr>
            <a:defRPr sz="1600" b="0" i="0" u="none" strike="noStrike" kern="1200" spc="0" baseline="0">
              <a:solidFill>
                <a:schemeClr val="accent5">
                  <a:lumMod val="50000"/>
                </a:schemeClr>
              </a:solidFill>
              <a:latin typeface="UTM Bebas" panose="02040603050506020204" pitchFamily="18" charset="0"/>
              <a:ea typeface="+mn-ea"/>
              <a:cs typeface="+mn-cs"/>
            </a:defRPr>
          </a:pPr>
          <a:endParaRPr lang="en-US"/>
        </a:p>
      </c:txPr>
    </c:title>
    <c:autoTitleDeleted val="0"/>
    <c:pivotFmts>
      <c:pivotFmt>
        <c:idx val="0"/>
        <c:spPr>
          <a:solidFill>
            <a:schemeClr val="accent2"/>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showLegendKey val="0"/>
          <c:showVal val="1"/>
          <c:showCatName val="0"/>
          <c:showSerName val="1"/>
          <c:showPercent val="0"/>
          <c:showBubbleSize val="0"/>
          <c:separator> </c:separator>
          <c:extLst>
            <c:ext xmlns:c15="http://schemas.microsoft.com/office/drawing/2012/chart" uri="{CE6537A1-D6FC-4f65-9D91-7224C49458BB}"/>
          </c:extLst>
        </c:dLbl>
      </c:pivotFmt>
      <c:pivotFmt>
        <c:idx val="1"/>
        <c:spPr>
          <a:solidFill>
            <a:schemeClr val="accent2"/>
          </a:solidFill>
          <a:ln w="19050">
            <a:solidFill>
              <a:schemeClr val="lt1"/>
            </a:solid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showLegendKey val="0"/>
          <c:showVal val="1"/>
          <c:showCatName val="1"/>
          <c:showSerName val="0"/>
          <c:showPercent val="0"/>
          <c:showBubbleSize val="0"/>
          <c:separator> </c:separator>
          <c:extLst>
            <c:ext xmlns:c15="http://schemas.microsoft.com/office/drawing/2012/chart" uri="{CE6537A1-D6FC-4f65-9D91-7224C49458BB}"/>
          </c:extLst>
        </c:dLbl>
      </c:pivotFmt>
      <c:pivotFmt>
        <c:idx val="2"/>
        <c:spPr>
          <a:solidFill>
            <a:schemeClr val="accent2"/>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showLegendKey val="0"/>
          <c:showVal val="1"/>
          <c:showCatName val="0"/>
          <c:showSerName val="1"/>
          <c:showPercent val="0"/>
          <c:showBubbleSize val="0"/>
          <c:separator> </c:separator>
          <c:extLst>
            <c:ext xmlns:c15="http://schemas.microsoft.com/office/drawing/2012/chart" uri="{CE6537A1-D6FC-4f65-9D91-7224C49458BB}"/>
          </c:extLst>
        </c:dLbl>
      </c:pivotFmt>
      <c:pivotFmt>
        <c:idx val="3"/>
        <c:spPr>
          <a:solidFill>
            <a:schemeClr val="accent2"/>
          </a:solidFill>
          <a:ln w="19050">
            <a:solidFill>
              <a:schemeClr val="lt1"/>
            </a:solidFill>
          </a:ln>
          <a:effectLst/>
        </c:spPr>
      </c:pivotFmt>
      <c:pivotFmt>
        <c:idx val="4"/>
        <c:spPr>
          <a:solidFill>
            <a:schemeClr val="accent2"/>
          </a:solidFill>
          <a:ln w="19050">
            <a:solidFill>
              <a:schemeClr val="lt1"/>
            </a:solidFill>
          </a:ln>
          <a:effectLst/>
        </c:spPr>
      </c:pivotFmt>
      <c:pivotFmt>
        <c:idx val="5"/>
        <c:spPr>
          <a:solidFill>
            <a:schemeClr val="accent2"/>
          </a:solidFill>
          <a:ln w="19050">
            <a:solidFill>
              <a:schemeClr val="lt1"/>
            </a:solidFill>
          </a:ln>
          <a:effectLst/>
        </c:spPr>
      </c:pivotFmt>
      <c:pivotFmt>
        <c:idx val="6"/>
        <c:spPr>
          <a:solidFill>
            <a:schemeClr val="accent2"/>
          </a:solidFill>
          <a:ln w="19050">
            <a:solidFill>
              <a:schemeClr val="lt1"/>
            </a:solidFill>
          </a:ln>
          <a:effectLst/>
        </c:spPr>
      </c:pivotFmt>
      <c:pivotFmt>
        <c:idx val="7"/>
        <c:spPr>
          <a:solidFill>
            <a:schemeClr val="accent2"/>
          </a:solidFill>
          <a:ln w="19050">
            <a:solidFill>
              <a:schemeClr val="lt1"/>
            </a:solidFill>
          </a:ln>
          <a:effectLst/>
        </c:spPr>
      </c:pivotFmt>
      <c:pivotFmt>
        <c:idx val="8"/>
        <c:spPr>
          <a:solidFill>
            <a:schemeClr val="accent2"/>
          </a:solidFill>
          <a:ln w="19050">
            <a:solidFill>
              <a:schemeClr val="lt1"/>
            </a:solidFill>
          </a:ln>
          <a:effectLst/>
        </c:spPr>
      </c:pivotFmt>
      <c:pivotFmt>
        <c:idx val="9"/>
        <c:spPr>
          <a:solidFill>
            <a:schemeClr val="accent2"/>
          </a:solidFill>
          <a:ln w="19050">
            <a:solidFill>
              <a:schemeClr val="lt1"/>
            </a:solidFill>
          </a:ln>
          <a:effectLst/>
        </c:spPr>
      </c:pivotFmt>
      <c:pivotFmt>
        <c:idx val="10"/>
        <c:spPr>
          <a:solidFill>
            <a:schemeClr val="accent2"/>
          </a:solidFill>
          <a:ln w="19050">
            <a:solidFill>
              <a:schemeClr val="lt1"/>
            </a:solid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showLegendKey val="0"/>
          <c:showVal val="1"/>
          <c:showCatName val="1"/>
          <c:showSerName val="0"/>
          <c:showPercent val="0"/>
          <c:showBubbleSize val="0"/>
          <c:separator> </c:separator>
          <c:extLst>
            <c:ext xmlns:c15="http://schemas.microsoft.com/office/drawing/2012/chart" uri="{CE6537A1-D6FC-4f65-9D91-7224C49458BB}"/>
          </c:extLst>
        </c:dLbl>
      </c:pivotFmt>
      <c:pivotFmt>
        <c:idx val="11"/>
        <c:spPr>
          <a:solidFill>
            <a:schemeClr val="accent2"/>
          </a:solidFill>
          <a:ln w="9525">
            <a:solidFill>
              <a:srgbClr val="002060"/>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800" b="1" i="0" u="none" strike="noStrike" kern="1200" baseline="0">
                  <a:solidFill>
                    <a:schemeClr val="accent5">
                      <a:lumMod val="50000"/>
                    </a:schemeClr>
                  </a:solidFill>
                  <a:latin typeface="Arial Narrow" panose="020B0606020202030204" pitchFamily="34" charset="0"/>
                  <a:ea typeface="Nirmala Text" panose="020B0502040204020203" pitchFamily="34" charset="0"/>
                  <a:cs typeface="Nirmala Text" panose="020B0502040204020203" pitchFamily="34" charset="0"/>
                </a:defRPr>
              </a:pPr>
              <a:endParaRPr lang="en-US"/>
            </a:p>
          </c:txPr>
          <c:showLegendKey val="0"/>
          <c:showVal val="1"/>
          <c:showCatName val="1"/>
          <c:showSerName val="0"/>
          <c:showPercent val="0"/>
          <c:showBubbleSize val="0"/>
          <c:separator> </c:separator>
          <c:extLst>
            <c:ext xmlns:c15="http://schemas.microsoft.com/office/drawing/2012/chart" uri="{CE6537A1-D6FC-4f65-9D91-7224C49458BB}"/>
          </c:extLst>
        </c:dLbl>
      </c:pivotFmt>
      <c:pivotFmt>
        <c:idx val="12"/>
        <c:spPr>
          <a:solidFill>
            <a:schemeClr val="accent2"/>
          </a:solidFill>
          <a:ln w="9525">
            <a:solidFill>
              <a:srgbClr val="002060"/>
            </a:solidFill>
          </a:ln>
          <a:effectLst/>
        </c:spPr>
        <c:dLbl>
          <c:idx val="0"/>
          <c:layout>
            <c:manualLayout>
              <c:x val="5.0293456672316536E-2"/>
              <c:y val="-7.8641531836215112E-2"/>
            </c:manualLayout>
          </c:layout>
          <c:spPr>
            <a:noFill/>
            <a:ln>
              <a:noFill/>
            </a:ln>
            <a:effectLst/>
          </c:spPr>
          <c:txPr>
            <a:bodyPr rot="0" spcFirstLastPara="1" vertOverflow="ellipsis" vert="horz" wrap="square" lIns="38100" tIns="19050" rIns="38100" bIns="19050" anchor="ctr" anchorCtr="1">
              <a:spAutoFit/>
            </a:bodyPr>
            <a:lstStyle/>
            <a:p>
              <a:pPr>
                <a:defRPr sz="800" b="1" i="0" u="none" strike="noStrike" kern="1200" baseline="0">
                  <a:solidFill>
                    <a:schemeClr val="accent5">
                      <a:lumMod val="50000"/>
                    </a:schemeClr>
                  </a:solidFill>
                  <a:latin typeface="Arial Narrow" panose="020B0606020202030204" pitchFamily="34" charset="0"/>
                  <a:ea typeface="Nirmala Text" panose="020B0502040204020203" pitchFamily="34" charset="0"/>
                  <a:cs typeface="Nirmala Text" panose="020B0502040204020203" pitchFamily="34" charset="0"/>
                </a:defRPr>
              </a:pPr>
              <a:endParaRPr lang="en-US"/>
            </a:p>
          </c:txPr>
          <c:showLegendKey val="0"/>
          <c:showVal val="1"/>
          <c:showCatName val="1"/>
          <c:showSerName val="0"/>
          <c:showPercent val="0"/>
          <c:showBubbleSize val="0"/>
          <c:separator> </c:separator>
          <c:extLst>
            <c:ext xmlns:c15="http://schemas.microsoft.com/office/drawing/2012/chart" uri="{CE6537A1-D6FC-4f65-9D91-7224C49458BB}"/>
          </c:extLst>
        </c:dLbl>
      </c:pivotFmt>
      <c:pivotFmt>
        <c:idx val="13"/>
        <c:spPr>
          <a:solidFill>
            <a:schemeClr val="accent5">
              <a:lumMod val="60000"/>
              <a:lumOff val="40000"/>
            </a:schemeClr>
          </a:solidFill>
          <a:ln w="9525">
            <a:solidFill>
              <a:srgbClr val="002060"/>
            </a:solidFill>
          </a:ln>
          <a:effectLst/>
        </c:spPr>
        <c:dLbl>
          <c:idx val="0"/>
          <c:layout>
            <c:manualLayout>
              <c:x val="5.0444115650559729E-2"/>
              <c:y val="-0.12515019208983125"/>
            </c:manualLayout>
          </c:layout>
          <c:spPr>
            <a:noFill/>
            <a:ln>
              <a:noFill/>
            </a:ln>
            <a:effectLst/>
          </c:spPr>
          <c:txPr>
            <a:bodyPr rot="0" spcFirstLastPara="1" vertOverflow="ellipsis" vert="horz" wrap="square" lIns="38100" tIns="19050" rIns="38100" bIns="19050" anchor="ctr" anchorCtr="1">
              <a:spAutoFit/>
            </a:bodyPr>
            <a:lstStyle/>
            <a:p>
              <a:pPr>
                <a:defRPr sz="800" b="1" i="0" u="none" strike="noStrike" kern="1200" baseline="0">
                  <a:solidFill>
                    <a:schemeClr val="accent5">
                      <a:lumMod val="50000"/>
                    </a:schemeClr>
                  </a:solidFill>
                  <a:latin typeface="Arial Narrow" panose="020B0606020202030204" pitchFamily="34" charset="0"/>
                  <a:ea typeface="Nirmala Text" panose="020B0502040204020203" pitchFamily="34" charset="0"/>
                  <a:cs typeface="Nirmala Text" panose="020B0502040204020203" pitchFamily="34" charset="0"/>
                </a:defRPr>
              </a:pPr>
              <a:endParaRPr lang="en-US"/>
            </a:p>
          </c:txPr>
          <c:showLegendKey val="0"/>
          <c:showVal val="1"/>
          <c:showCatName val="1"/>
          <c:showSerName val="0"/>
          <c:showPercent val="0"/>
          <c:showBubbleSize val="0"/>
          <c:separator> </c:separator>
          <c:extLst>
            <c:ext xmlns:c15="http://schemas.microsoft.com/office/drawing/2012/chart" uri="{CE6537A1-D6FC-4f65-9D91-7224C49458BB}"/>
          </c:extLst>
        </c:dLbl>
      </c:pivotFmt>
      <c:pivotFmt>
        <c:idx val="14"/>
        <c:spPr>
          <a:solidFill>
            <a:schemeClr val="accent2"/>
          </a:solidFill>
          <a:ln w="9525">
            <a:solidFill>
              <a:srgbClr val="002060"/>
            </a:solidFill>
          </a:ln>
          <a:effectLst/>
        </c:spPr>
        <c:dLbl>
          <c:idx val="0"/>
          <c:layout>
            <c:manualLayout>
              <c:x val="8.0289133904123858E-2"/>
              <c:y val="-9.5513673418505474E-2"/>
            </c:manualLayout>
          </c:layout>
          <c:spPr>
            <a:noFill/>
            <a:ln>
              <a:noFill/>
            </a:ln>
            <a:effectLst/>
          </c:spPr>
          <c:txPr>
            <a:bodyPr rot="0" spcFirstLastPara="1" vertOverflow="ellipsis" vert="horz" wrap="square" lIns="38100" tIns="19050" rIns="38100" bIns="19050" anchor="ctr" anchorCtr="1">
              <a:spAutoFit/>
            </a:bodyPr>
            <a:lstStyle/>
            <a:p>
              <a:pPr>
                <a:defRPr sz="800" b="1" i="0" u="none" strike="noStrike" kern="1200" baseline="0">
                  <a:solidFill>
                    <a:schemeClr val="accent2"/>
                  </a:solidFill>
                  <a:latin typeface="Arial Narrow" panose="020B0606020202030204" pitchFamily="34" charset="0"/>
                  <a:ea typeface="Nirmala Text" panose="020B0502040204020203" pitchFamily="34" charset="0"/>
                  <a:cs typeface="Nirmala Text" panose="020B0502040204020203" pitchFamily="34" charset="0"/>
                </a:defRPr>
              </a:pPr>
              <a:endParaRPr lang="en-US"/>
            </a:p>
          </c:txPr>
          <c:showLegendKey val="0"/>
          <c:showVal val="1"/>
          <c:showCatName val="1"/>
          <c:showSerName val="0"/>
          <c:showPercent val="0"/>
          <c:showBubbleSize val="0"/>
          <c:separator> </c:separator>
          <c:extLst>
            <c:ext xmlns:c15="http://schemas.microsoft.com/office/drawing/2012/chart" uri="{CE6537A1-D6FC-4f65-9D91-7224C49458BB}"/>
          </c:extLst>
        </c:dLbl>
      </c:pivotFmt>
      <c:pivotFmt>
        <c:idx val="15"/>
        <c:spPr>
          <a:solidFill>
            <a:srgbClr val="00B0F0"/>
          </a:solidFill>
          <a:ln w="9525">
            <a:solidFill>
              <a:srgbClr val="002060"/>
            </a:solidFill>
          </a:ln>
          <a:effectLst/>
        </c:spPr>
        <c:dLbl>
          <c:idx val="0"/>
          <c:layout>
            <c:manualLayout>
              <c:x val="-5.5614364048377695E-3"/>
              <c:y val="3.4473192718234166E-2"/>
            </c:manualLayout>
          </c:layout>
          <c:spPr>
            <a:noFill/>
            <a:ln>
              <a:noFill/>
            </a:ln>
            <a:effectLst/>
          </c:spPr>
          <c:txPr>
            <a:bodyPr rot="0" spcFirstLastPara="1" vertOverflow="ellipsis" vert="horz" wrap="square" lIns="38100" tIns="19050" rIns="38100" bIns="19050" anchor="ctr" anchorCtr="1">
              <a:spAutoFit/>
            </a:bodyPr>
            <a:lstStyle/>
            <a:p>
              <a:pPr>
                <a:defRPr sz="800" b="1" i="0" u="none" strike="noStrike" kern="1200" baseline="0">
                  <a:solidFill>
                    <a:schemeClr val="accent2"/>
                  </a:solidFill>
                  <a:latin typeface="Arial Narrow" panose="020B0606020202030204" pitchFamily="34" charset="0"/>
                  <a:ea typeface="Nirmala Text" panose="020B0502040204020203" pitchFamily="34" charset="0"/>
                  <a:cs typeface="Nirmala Text" panose="020B0502040204020203" pitchFamily="34" charset="0"/>
                </a:defRPr>
              </a:pPr>
              <a:endParaRPr lang="en-US"/>
            </a:p>
          </c:txPr>
          <c:showLegendKey val="0"/>
          <c:showVal val="1"/>
          <c:showCatName val="1"/>
          <c:showSerName val="0"/>
          <c:showPercent val="0"/>
          <c:showBubbleSize val="0"/>
          <c:separator> </c:separator>
          <c:extLst>
            <c:ext xmlns:c15="http://schemas.microsoft.com/office/drawing/2012/chart" uri="{CE6537A1-D6FC-4f65-9D91-7224C49458BB}"/>
          </c:extLst>
        </c:dLbl>
      </c:pivotFmt>
      <c:pivotFmt>
        <c:idx val="16"/>
        <c:spPr>
          <a:solidFill>
            <a:schemeClr val="accent2"/>
          </a:solidFill>
          <a:ln w="9525">
            <a:solidFill>
              <a:srgbClr val="002060"/>
            </a:solidFill>
          </a:ln>
          <a:effectLst/>
        </c:spPr>
        <c:dLbl>
          <c:idx val="0"/>
          <c:layout>
            <c:manualLayout>
              <c:x val="-4.4857550182890858E-2"/>
              <c:y val="0.16277927059612518"/>
            </c:manualLayout>
          </c:layout>
          <c:spPr>
            <a:noFill/>
            <a:ln>
              <a:noFill/>
            </a:ln>
            <a:effectLst/>
          </c:spPr>
          <c:txPr>
            <a:bodyPr rot="0" spcFirstLastPara="1" vertOverflow="ellipsis" vert="horz" wrap="square" lIns="38100" tIns="19050" rIns="38100" bIns="19050" anchor="ctr" anchorCtr="1">
              <a:spAutoFit/>
            </a:bodyPr>
            <a:lstStyle/>
            <a:p>
              <a:pPr>
                <a:defRPr sz="800" b="1" i="0" u="none" strike="noStrike" kern="1200" baseline="0">
                  <a:solidFill>
                    <a:schemeClr val="accent2"/>
                  </a:solidFill>
                  <a:latin typeface="Arial Narrow" panose="020B0606020202030204" pitchFamily="34" charset="0"/>
                  <a:ea typeface="Nirmala Text" panose="020B0502040204020203" pitchFamily="34" charset="0"/>
                  <a:cs typeface="Nirmala Text" panose="020B0502040204020203" pitchFamily="34" charset="0"/>
                </a:defRPr>
              </a:pPr>
              <a:endParaRPr lang="en-US"/>
            </a:p>
          </c:txPr>
          <c:showLegendKey val="0"/>
          <c:showVal val="1"/>
          <c:showCatName val="1"/>
          <c:showSerName val="0"/>
          <c:showPercent val="0"/>
          <c:showBubbleSize val="0"/>
          <c:separator> </c:separator>
          <c:extLst>
            <c:ext xmlns:c15="http://schemas.microsoft.com/office/drawing/2012/chart" uri="{CE6537A1-D6FC-4f65-9D91-7224C49458BB}"/>
          </c:extLst>
        </c:dLbl>
      </c:pivotFmt>
      <c:pivotFmt>
        <c:idx val="17"/>
        <c:spPr>
          <a:solidFill>
            <a:schemeClr val="accent2"/>
          </a:solidFill>
          <a:ln w="9525">
            <a:solidFill>
              <a:srgbClr val="002060"/>
            </a:solidFill>
          </a:ln>
          <a:effectLst/>
        </c:spPr>
        <c:dLbl>
          <c:idx val="0"/>
          <c:layout>
            <c:manualLayout>
              <c:x val="-6.1688378695507133E-2"/>
              <c:y val="-5.7720228850266411E-2"/>
            </c:manualLayout>
          </c:layout>
          <c:spPr>
            <a:noFill/>
            <a:ln>
              <a:noFill/>
            </a:ln>
            <a:effectLst/>
          </c:spPr>
          <c:txPr>
            <a:bodyPr rot="0" spcFirstLastPara="1" vertOverflow="ellipsis" vert="horz" wrap="square" lIns="38100" tIns="19050" rIns="38100" bIns="19050" anchor="ctr" anchorCtr="1">
              <a:spAutoFit/>
            </a:bodyPr>
            <a:lstStyle/>
            <a:p>
              <a:pPr>
                <a:defRPr sz="800" b="1" i="0" u="none" strike="noStrike" kern="1200" baseline="0">
                  <a:solidFill>
                    <a:schemeClr val="accent5">
                      <a:lumMod val="50000"/>
                    </a:schemeClr>
                  </a:solidFill>
                  <a:latin typeface="Arial Narrow" panose="020B0606020202030204" pitchFamily="34" charset="0"/>
                  <a:ea typeface="Nirmala Text" panose="020B0502040204020203" pitchFamily="34" charset="0"/>
                  <a:cs typeface="Nirmala Text" panose="020B0502040204020203" pitchFamily="34" charset="0"/>
                </a:defRPr>
              </a:pPr>
              <a:endParaRPr lang="en-US"/>
            </a:p>
          </c:txPr>
          <c:showLegendKey val="0"/>
          <c:showVal val="1"/>
          <c:showCatName val="1"/>
          <c:showSerName val="0"/>
          <c:showPercent val="0"/>
          <c:showBubbleSize val="0"/>
          <c:separator> </c:separator>
          <c:extLst>
            <c:ext xmlns:c15="http://schemas.microsoft.com/office/drawing/2012/chart" uri="{CE6537A1-D6FC-4f65-9D91-7224C49458BB}"/>
          </c:extLst>
        </c:dLbl>
      </c:pivotFmt>
      <c:pivotFmt>
        <c:idx val="18"/>
        <c:spPr>
          <a:solidFill>
            <a:srgbClr val="92D050"/>
          </a:solidFill>
          <a:ln w="9525">
            <a:solidFill>
              <a:srgbClr val="002060"/>
            </a:solidFill>
          </a:ln>
          <a:effectLst/>
        </c:spPr>
        <c:dLbl>
          <c:idx val="0"/>
          <c:layout>
            <c:manualLayout>
              <c:x val="-4.5324806122720829E-2"/>
              <c:y val="8.4853112569599834E-3"/>
            </c:manualLayout>
          </c:layout>
          <c:spPr>
            <a:noFill/>
            <a:ln>
              <a:noFill/>
            </a:ln>
            <a:effectLst/>
          </c:spPr>
          <c:txPr>
            <a:bodyPr rot="0" spcFirstLastPara="1" vertOverflow="ellipsis" vert="horz" wrap="square" lIns="38100" tIns="19050" rIns="38100" bIns="19050" anchor="ctr" anchorCtr="1">
              <a:spAutoFit/>
            </a:bodyPr>
            <a:lstStyle/>
            <a:p>
              <a:pPr>
                <a:defRPr sz="800" b="1" i="0" u="none" strike="noStrike" kern="1200" baseline="0">
                  <a:solidFill>
                    <a:schemeClr val="accent5">
                      <a:lumMod val="50000"/>
                    </a:schemeClr>
                  </a:solidFill>
                  <a:latin typeface="Arial Narrow" panose="020B0606020202030204" pitchFamily="34" charset="0"/>
                  <a:ea typeface="Nirmala Text" panose="020B0502040204020203" pitchFamily="34" charset="0"/>
                  <a:cs typeface="Nirmala Text" panose="020B0502040204020203" pitchFamily="34" charset="0"/>
                </a:defRPr>
              </a:pPr>
              <a:endParaRPr lang="en-US"/>
            </a:p>
          </c:txPr>
          <c:showLegendKey val="0"/>
          <c:showVal val="1"/>
          <c:showCatName val="1"/>
          <c:showSerName val="0"/>
          <c:showPercent val="0"/>
          <c:showBubbleSize val="0"/>
          <c:separator> </c:separator>
          <c:extLst>
            <c:ext xmlns:c15="http://schemas.microsoft.com/office/drawing/2012/chart" uri="{CE6537A1-D6FC-4f65-9D91-7224C49458BB}"/>
          </c:extLst>
        </c:dLbl>
      </c:pivotFmt>
      <c:pivotFmt>
        <c:idx val="19"/>
        <c:spPr>
          <a:solidFill>
            <a:schemeClr val="accent4">
              <a:lumMod val="60000"/>
            </a:schemeClr>
          </a:solidFill>
          <a:ln w="9525">
            <a:solidFill>
              <a:srgbClr val="002060"/>
            </a:solidFill>
          </a:ln>
          <a:effectLst/>
        </c:spPr>
        <c:dLbl>
          <c:idx val="0"/>
          <c:layout>
            <c:manualLayout>
              <c:x val="-8.7976506487618313E-3"/>
              <c:y val="-1.5823539396682726E-2"/>
            </c:manualLayout>
          </c:layout>
          <c:spPr>
            <a:noFill/>
            <a:ln>
              <a:noFill/>
            </a:ln>
            <a:effectLst/>
          </c:spPr>
          <c:txPr>
            <a:bodyPr rot="0" spcFirstLastPara="1" vertOverflow="ellipsis" vert="horz" wrap="square" lIns="38100" tIns="19050" rIns="38100" bIns="19050" anchor="ctr" anchorCtr="1">
              <a:spAutoFit/>
            </a:bodyPr>
            <a:lstStyle/>
            <a:p>
              <a:pPr>
                <a:defRPr sz="800" b="1" i="0" u="none" strike="noStrike" kern="1200" baseline="0">
                  <a:solidFill>
                    <a:schemeClr val="accent5">
                      <a:lumMod val="50000"/>
                    </a:schemeClr>
                  </a:solidFill>
                  <a:latin typeface="Arial Narrow" panose="020B0606020202030204" pitchFamily="34" charset="0"/>
                  <a:ea typeface="Nirmala Text" panose="020B0502040204020203" pitchFamily="34" charset="0"/>
                  <a:cs typeface="Nirmala Text" panose="020B0502040204020203" pitchFamily="34" charset="0"/>
                </a:defRPr>
              </a:pPr>
              <a:endParaRPr lang="en-US"/>
            </a:p>
          </c:txPr>
          <c:showLegendKey val="0"/>
          <c:showVal val="1"/>
          <c:showCatName val="1"/>
          <c:showSerName val="0"/>
          <c:showPercent val="0"/>
          <c:showBubbleSize val="0"/>
          <c:separator> </c:separator>
          <c:extLst>
            <c:ext xmlns:c15="http://schemas.microsoft.com/office/drawing/2012/chart" uri="{CE6537A1-D6FC-4f65-9D91-7224C49458BB}"/>
          </c:extLst>
        </c:dLbl>
      </c:pivotFmt>
    </c:pivotFmts>
    <c:plotArea>
      <c:layout/>
      <c:pieChart>
        <c:varyColors val="1"/>
        <c:ser>
          <c:idx val="0"/>
          <c:order val="0"/>
          <c:tx>
            <c:strRef>
              <c:f>'CALCULATION- DÀI'!$B$49</c:f>
              <c:strCache>
                <c:ptCount val="1"/>
                <c:pt idx="0">
                  <c:v>Total</c:v>
                </c:pt>
              </c:strCache>
            </c:strRef>
          </c:tx>
          <c:spPr>
            <a:ln w="9525">
              <a:solidFill>
                <a:srgbClr val="002060"/>
              </a:solidFill>
            </a:ln>
          </c:spPr>
          <c:dPt>
            <c:idx val="0"/>
            <c:bubble3D val="0"/>
            <c:explosion val="5"/>
            <c:spPr>
              <a:solidFill>
                <a:schemeClr val="accent2"/>
              </a:solidFill>
              <a:ln w="9525">
                <a:solidFill>
                  <a:srgbClr val="002060"/>
                </a:solidFill>
              </a:ln>
              <a:effectLst/>
            </c:spPr>
            <c:extLst>
              <c:ext xmlns:c16="http://schemas.microsoft.com/office/drawing/2014/chart" uri="{C3380CC4-5D6E-409C-BE32-E72D297353CC}">
                <c16:uniqueId val="{00000001-71D4-47A0-87F4-01A9B91F0BD1}"/>
              </c:ext>
            </c:extLst>
          </c:dPt>
          <c:dPt>
            <c:idx val="1"/>
            <c:bubble3D val="0"/>
            <c:explosion val="21"/>
            <c:spPr>
              <a:solidFill>
                <a:schemeClr val="accent5">
                  <a:lumMod val="60000"/>
                  <a:lumOff val="40000"/>
                </a:schemeClr>
              </a:solidFill>
              <a:ln w="9525">
                <a:solidFill>
                  <a:srgbClr val="002060"/>
                </a:solidFill>
              </a:ln>
              <a:effectLst/>
            </c:spPr>
            <c:extLst>
              <c:ext xmlns:c16="http://schemas.microsoft.com/office/drawing/2014/chart" uri="{C3380CC4-5D6E-409C-BE32-E72D297353CC}">
                <c16:uniqueId val="{00000003-71D4-47A0-87F4-01A9B91F0BD1}"/>
              </c:ext>
            </c:extLst>
          </c:dPt>
          <c:dPt>
            <c:idx val="2"/>
            <c:bubble3D val="0"/>
            <c:explosion val="19"/>
            <c:spPr>
              <a:solidFill>
                <a:schemeClr val="accent6"/>
              </a:solidFill>
              <a:ln w="9525">
                <a:solidFill>
                  <a:srgbClr val="002060"/>
                </a:solidFill>
              </a:ln>
              <a:effectLst/>
            </c:spPr>
            <c:extLst>
              <c:ext xmlns:c16="http://schemas.microsoft.com/office/drawing/2014/chart" uri="{C3380CC4-5D6E-409C-BE32-E72D297353CC}">
                <c16:uniqueId val="{00000005-71D4-47A0-87F4-01A9B91F0BD1}"/>
              </c:ext>
            </c:extLst>
          </c:dPt>
          <c:dPt>
            <c:idx val="3"/>
            <c:bubble3D val="0"/>
            <c:explosion val="13"/>
            <c:spPr>
              <a:solidFill>
                <a:srgbClr val="92D050"/>
              </a:solidFill>
              <a:ln w="9525">
                <a:solidFill>
                  <a:srgbClr val="002060"/>
                </a:solidFill>
              </a:ln>
              <a:effectLst/>
            </c:spPr>
            <c:extLst>
              <c:ext xmlns:c16="http://schemas.microsoft.com/office/drawing/2014/chart" uri="{C3380CC4-5D6E-409C-BE32-E72D297353CC}">
                <c16:uniqueId val="{00000007-71D4-47A0-87F4-01A9B91F0BD1}"/>
              </c:ext>
            </c:extLst>
          </c:dPt>
          <c:dPt>
            <c:idx val="4"/>
            <c:bubble3D val="0"/>
            <c:explosion val="21"/>
            <c:spPr>
              <a:solidFill>
                <a:schemeClr val="accent4">
                  <a:lumMod val="60000"/>
                </a:schemeClr>
              </a:solidFill>
              <a:ln w="9525">
                <a:solidFill>
                  <a:srgbClr val="002060"/>
                </a:solidFill>
              </a:ln>
              <a:effectLst/>
            </c:spPr>
            <c:extLst>
              <c:ext xmlns:c16="http://schemas.microsoft.com/office/drawing/2014/chart" uri="{C3380CC4-5D6E-409C-BE32-E72D297353CC}">
                <c16:uniqueId val="{00000009-71D4-47A0-87F4-01A9B91F0BD1}"/>
              </c:ext>
            </c:extLst>
          </c:dPt>
          <c:dPt>
            <c:idx val="5"/>
            <c:bubble3D val="0"/>
            <c:explosion val="5"/>
            <c:spPr>
              <a:solidFill>
                <a:schemeClr val="accent6">
                  <a:lumMod val="60000"/>
                </a:schemeClr>
              </a:solidFill>
              <a:ln w="9525">
                <a:solidFill>
                  <a:srgbClr val="002060"/>
                </a:solidFill>
              </a:ln>
              <a:effectLst/>
            </c:spPr>
            <c:extLst>
              <c:ext xmlns:c16="http://schemas.microsoft.com/office/drawing/2014/chart" uri="{C3380CC4-5D6E-409C-BE32-E72D297353CC}">
                <c16:uniqueId val="{0000000B-71D4-47A0-87F4-01A9B91F0BD1}"/>
              </c:ext>
            </c:extLst>
          </c:dPt>
          <c:dPt>
            <c:idx val="6"/>
            <c:bubble3D val="0"/>
            <c:explosion val="7"/>
            <c:spPr>
              <a:solidFill>
                <a:schemeClr val="accent2">
                  <a:lumMod val="80000"/>
                  <a:lumOff val="20000"/>
                </a:schemeClr>
              </a:solidFill>
              <a:ln w="9525">
                <a:solidFill>
                  <a:srgbClr val="002060"/>
                </a:solidFill>
              </a:ln>
              <a:effectLst/>
            </c:spPr>
            <c:extLst>
              <c:ext xmlns:c16="http://schemas.microsoft.com/office/drawing/2014/chart" uri="{C3380CC4-5D6E-409C-BE32-E72D297353CC}">
                <c16:uniqueId val="{0000000D-71D4-47A0-87F4-01A9B91F0BD1}"/>
              </c:ext>
            </c:extLst>
          </c:dPt>
          <c:dPt>
            <c:idx val="7"/>
            <c:bubble3D val="0"/>
            <c:explosion val="14"/>
            <c:spPr>
              <a:solidFill>
                <a:schemeClr val="accent4">
                  <a:lumMod val="80000"/>
                  <a:lumOff val="20000"/>
                </a:schemeClr>
              </a:solidFill>
              <a:ln w="9525">
                <a:solidFill>
                  <a:srgbClr val="002060"/>
                </a:solidFill>
              </a:ln>
              <a:effectLst/>
            </c:spPr>
            <c:extLst>
              <c:ext xmlns:c16="http://schemas.microsoft.com/office/drawing/2014/chart" uri="{C3380CC4-5D6E-409C-BE32-E72D297353CC}">
                <c16:uniqueId val="{0000000F-71D4-47A0-87F4-01A9B91F0BD1}"/>
              </c:ext>
            </c:extLst>
          </c:dPt>
          <c:dLbls>
            <c:dLbl>
              <c:idx val="0"/>
              <c:layout>
                <c:manualLayout>
                  <c:x val="5.0293456672316536E-2"/>
                  <c:y val="-7.8641531836215112E-2"/>
                </c:manualLayout>
              </c:layout>
              <c:showLegendKey val="0"/>
              <c:showVal val="1"/>
              <c:showCatName val="1"/>
              <c:showSerName val="0"/>
              <c:showPercent val="0"/>
              <c:showBubbleSize val="0"/>
              <c:separator> </c:separator>
              <c:extLst>
                <c:ext xmlns:c15="http://schemas.microsoft.com/office/drawing/2012/chart" uri="{CE6537A1-D6FC-4f65-9D91-7224C49458BB}"/>
                <c:ext xmlns:c16="http://schemas.microsoft.com/office/drawing/2014/chart" uri="{C3380CC4-5D6E-409C-BE32-E72D297353CC}">
                  <c16:uniqueId val="{00000001-71D4-47A0-87F4-01A9B91F0BD1}"/>
                </c:ext>
              </c:extLst>
            </c:dLbl>
            <c:dLbl>
              <c:idx val="1"/>
              <c:layout>
                <c:manualLayout>
                  <c:x val="5.0444115650559729E-2"/>
                  <c:y val="-0.12515019208983125"/>
                </c:manualLayout>
              </c:layout>
              <c:showLegendKey val="0"/>
              <c:showVal val="1"/>
              <c:showCatName val="1"/>
              <c:showSerName val="0"/>
              <c:showPercent val="0"/>
              <c:showBubbleSize val="0"/>
              <c:separator> </c:separator>
              <c:extLst>
                <c:ext xmlns:c15="http://schemas.microsoft.com/office/drawing/2012/chart" uri="{CE6537A1-D6FC-4f65-9D91-7224C49458BB}"/>
                <c:ext xmlns:c16="http://schemas.microsoft.com/office/drawing/2014/chart" uri="{C3380CC4-5D6E-409C-BE32-E72D297353CC}">
                  <c16:uniqueId val="{00000003-71D4-47A0-87F4-01A9B91F0BD1}"/>
                </c:ext>
              </c:extLst>
            </c:dLbl>
            <c:dLbl>
              <c:idx val="2"/>
              <c:layout>
                <c:manualLayout>
                  <c:x val="-6.1688378695507133E-2"/>
                  <c:y val="-5.7720228850266411E-2"/>
                </c:manualLayout>
              </c:layout>
              <c:showLegendKey val="0"/>
              <c:showVal val="1"/>
              <c:showCatName val="1"/>
              <c:showSerName val="0"/>
              <c:showPercent val="0"/>
              <c:showBubbleSize val="0"/>
              <c:separator> </c:separator>
              <c:extLst>
                <c:ext xmlns:c15="http://schemas.microsoft.com/office/drawing/2012/chart" uri="{CE6537A1-D6FC-4f65-9D91-7224C49458BB}"/>
                <c:ext xmlns:c16="http://schemas.microsoft.com/office/drawing/2014/chart" uri="{C3380CC4-5D6E-409C-BE32-E72D297353CC}">
                  <c16:uniqueId val="{00000005-71D4-47A0-87F4-01A9B91F0BD1}"/>
                </c:ext>
              </c:extLst>
            </c:dLbl>
            <c:dLbl>
              <c:idx val="3"/>
              <c:layout>
                <c:manualLayout>
                  <c:x val="-4.5324806122720829E-2"/>
                  <c:y val="8.4853112569599834E-3"/>
                </c:manualLayout>
              </c:layout>
              <c:showLegendKey val="0"/>
              <c:showVal val="1"/>
              <c:showCatName val="1"/>
              <c:showSerName val="0"/>
              <c:showPercent val="0"/>
              <c:showBubbleSize val="0"/>
              <c:separator> </c:separator>
              <c:extLst>
                <c:ext xmlns:c15="http://schemas.microsoft.com/office/drawing/2012/chart" uri="{CE6537A1-D6FC-4f65-9D91-7224C49458BB}"/>
                <c:ext xmlns:c16="http://schemas.microsoft.com/office/drawing/2014/chart" uri="{C3380CC4-5D6E-409C-BE32-E72D297353CC}">
                  <c16:uniqueId val="{00000007-71D4-47A0-87F4-01A9B91F0BD1}"/>
                </c:ext>
              </c:extLst>
            </c:dLbl>
            <c:dLbl>
              <c:idx val="4"/>
              <c:layout>
                <c:manualLayout>
                  <c:x val="-8.7976506487618313E-3"/>
                  <c:y val="-1.5823539396682726E-2"/>
                </c:manualLayout>
              </c:layout>
              <c:showLegendKey val="0"/>
              <c:showVal val="1"/>
              <c:showCatName val="1"/>
              <c:showSerName val="0"/>
              <c:showPercent val="0"/>
              <c:showBubbleSize val="0"/>
              <c:separator> </c:separator>
              <c:extLst>
                <c:ext xmlns:c15="http://schemas.microsoft.com/office/drawing/2012/chart" uri="{CE6537A1-D6FC-4f65-9D91-7224C49458BB}"/>
                <c:ext xmlns:c16="http://schemas.microsoft.com/office/drawing/2014/chart" uri="{C3380CC4-5D6E-409C-BE32-E72D297353CC}">
                  <c16:uniqueId val="{00000009-71D4-47A0-87F4-01A9B91F0BD1}"/>
                </c:ext>
              </c:extLst>
            </c:dLbl>
            <c:spPr>
              <a:noFill/>
              <a:ln>
                <a:noFill/>
              </a:ln>
              <a:effectLst/>
            </c:spPr>
            <c:txPr>
              <a:bodyPr rot="0" spcFirstLastPara="1" vertOverflow="ellipsis" vert="horz" wrap="square" lIns="38100" tIns="19050" rIns="38100" bIns="19050" anchor="ctr" anchorCtr="1">
                <a:spAutoFit/>
              </a:bodyPr>
              <a:lstStyle/>
              <a:p>
                <a:pPr>
                  <a:defRPr sz="800" b="1" i="0" u="none" strike="noStrike" kern="1200" baseline="0">
                    <a:solidFill>
                      <a:schemeClr val="accent5">
                        <a:lumMod val="50000"/>
                      </a:schemeClr>
                    </a:solidFill>
                    <a:latin typeface="Arial Narrow" panose="020B0606020202030204" pitchFamily="34" charset="0"/>
                    <a:ea typeface="Nirmala Text" panose="020B0502040204020203" pitchFamily="34" charset="0"/>
                    <a:cs typeface="Nirmala Text" panose="020B0502040204020203" pitchFamily="34" charset="0"/>
                  </a:defRPr>
                </a:pPr>
                <a:endParaRPr lang="en-US"/>
              </a:p>
            </c:txPr>
            <c:showLegendKey val="0"/>
            <c:showVal val="1"/>
            <c:showCatName val="1"/>
            <c:showSerName val="0"/>
            <c:showPercent val="0"/>
            <c:showBubbleSize val="0"/>
            <c:separator> </c:separator>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'CALCULATION- DÀI'!$A$50:$A$55</c:f>
              <c:strCache>
                <c:ptCount val="5"/>
                <c:pt idx="0">
                  <c:v>INTERLOG</c:v>
                </c:pt>
                <c:pt idx="1">
                  <c:v>LOGITEM</c:v>
                </c:pt>
                <c:pt idx="2">
                  <c:v>PHUONG ANH</c:v>
                </c:pt>
                <c:pt idx="3">
                  <c:v>THUAN THANH TIN</c:v>
                </c:pt>
                <c:pt idx="4">
                  <c:v>VINAFCO</c:v>
                </c:pt>
              </c:strCache>
            </c:strRef>
          </c:cat>
          <c:val>
            <c:numRef>
              <c:f>'CALCULATION- DÀI'!$B$50:$B$55</c:f>
              <c:numCache>
                <c:formatCode>0.00%</c:formatCode>
                <c:ptCount val="5"/>
                <c:pt idx="0">
                  <c:v>0.34205479901381353</c:v>
                </c:pt>
                <c:pt idx="1">
                  <c:v>0.11199628245580689</c:v>
                </c:pt>
                <c:pt idx="2">
                  <c:v>0.20808426499654237</c:v>
                </c:pt>
                <c:pt idx="3">
                  <c:v>0.17747703818964142</c:v>
                </c:pt>
                <c:pt idx="4">
                  <c:v>0.16038761534419582</c:v>
                </c:pt>
              </c:numCache>
            </c:numRef>
          </c:val>
          <c:extLst>
            <c:ext xmlns:c16="http://schemas.microsoft.com/office/drawing/2014/chart" uri="{C3380CC4-5D6E-409C-BE32-E72D297353CC}">
              <c16:uniqueId val="{00000010-71D4-47A0-87F4-01A9B91F0BD1}"/>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accent6">
        <a:lumMod val="20000"/>
        <a:lumOff val="80000"/>
      </a:schemeClr>
    </a:solidFill>
    <a:ln w="25400" cap="flat" cmpd="sng" algn="ctr">
      <a:solidFill>
        <a:schemeClr val="accent6">
          <a:lumMod val="75000"/>
        </a:schemeClr>
      </a:solidFill>
      <a:prstDash val="lgDash"/>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3"/>
    </mc:Choice>
    <mc:Fallback>
      <c:style val="3"/>
    </mc:Fallback>
  </mc:AlternateContent>
  <c:pivotSource>
    <c:name>[Dashboard - DAV Transportation Cost.xlsm]CALCULATION- DÀI!KPI- dài</c:name>
    <c:fmtId val="2"/>
  </c:pivotSource>
  <c:chart>
    <c:title>
      <c:tx>
        <c:rich>
          <a:bodyPr rot="0" spcFirstLastPara="1" vertOverflow="ellipsis" vert="horz" wrap="square" anchor="ctr" anchorCtr="1"/>
          <a:lstStyle/>
          <a:p>
            <a:pPr>
              <a:defRPr sz="1600" b="0" i="0" u="none" strike="noStrike" kern="1200" spc="0" baseline="0">
                <a:solidFill>
                  <a:schemeClr val="accent5">
                    <a:lumMod val="50000"/>
                  </a:schemeClr>
                </a:solidFill>
                <a:latin typeface="UTM Bebas" panose="02040603050506020204" pitchFamily="18" charset="0"/>
                <a:ea typeface="+mn-ea"/>
                <a:cs typeface="+mn-cs"/>
              </a:defRPr>
            </a:pPr>
            <a:r>
              <a:rPr lang="en-US" sz="1600" b="0">
                <a:solidFill>
                  <a:schemeClr val="accent5">
                    <a:lumMod val="50000"/>
                  </a:schemeClr>
                </a:solidFill>
              </a:rPr>
              <a:t>KPI EVALUATION</a:t>
            </a:r>
          </a:p>
        </c:rich>
      </c:tx>
      <c:overlay val="0"/>
      <c:spPr>
        <a:noFill/>
        <a:ln>
          <a:noFill/>
        </a:ln>
        <a:effectLst/>
      </c:spPr>
      <c:txPr>
        <a:bodyPr rot="0" spcFirstLastPara="1" vertOverflow="ellipsis" vert="horz" wrap="square" anchor="ctr" anchorCtr="1"/>
        <a:lstStyle/>
        <a:p>
          <a:pPr>
            <a:defRPr sz="1600" b="0" i="0" u="none" strike="noStrike" kern="1200" spc="0" baseline="0">
              <a:solidFill>
                <a:schemeClr val="accent5">
                  <a:lumMod val="50000"/>
                </a:schemeClr>
              </a:solidFill>
              <a:latin typeface="UTM Bebas" panose="02040603050506020204" pitchFamily="18" charset="0"/>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6">
                <a:lumMod val="75000"/>
              </a:schemeClr>
            </a:solidFill>
            <a:prstDash val="dash"/>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4"/>
            </a:solidFill>
            <a:prstDash val="dash"/>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2"/>
            </a:solidFill>
            <a:prstDash val="dash"/>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6">
                <a:lumMod val="75000"/>
              </a:schemeClr>
            </a:solidFill>
            <a:prstDash val="dash"/>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4"/>
            </a:solidFill>
            <a:prstDash val="dash"/>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chemeClr val="accent2"/>
            </a:solidFill>
            <a:prstDash val="dash"/>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w="6350">
            <a:solidFill>
              <a:srgbClr val="002060"/>
            </a:solid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accent5">
                      <a:lumMod val="50000"/>
                    </a:schemeClr>
                  </a:solidFill>
                  <a:latin typeface="UTM Bebas" panose="02040603050506020204" pitchFamily="18" charset="0"/>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9"/>
        <c:spPr>
          <a:ln w="28575" cap="rnd">
            <a:solidFill>
              <a:srgbClr val="00B050"/>
            </a:solidFill>
            <a:prstDash val="dash"/>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lumMod val="50000"/>
                    </a:schemeClr>
                  </a:solidFill>
                  <a:latin typeface="UTM Bebas" panose="02040603050506020204" pitchFamily="18"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ln w="28575" cap="rnd">
            <a:solidFill>
              <a:schemeClr val="accent4"/>
            </a:solidFill>
            <a:prstDash val="dash"/>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lumMod val="50000"/>
                    </a:schemeClr>
                  </a:solidFill>
                  <a:latin typeface="UTM Bebas" panose="02040603050506020204" pitchFamily="18"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ln w="28575" cap="rnd">
            <a:solidFill>
              <a:srgbClr val="FF0000"/>
            </a:solidFill>
            <a:prstDash val="dash"/>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lumMod val="50000"/>
                    </a:schemeClr>
                  </a:solidFill>
                  <a:latin typeface="UTM Bebas" panose="02040603050506020204" pitchFamily="18"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2"/>
          </a:solidFill>
          <a:ln w="6350">
            <a:solidFill>
              <a:srgbClr val="002060"/>
            </a:solidFill>
          </a:ln>
          <a:effectLst/>
        </c:spPr>
      </c:pivotFmt>
      <c:pivotFmt>
        <c:idx val="13"/>
        <c:spPr>
          <a:solidFill>
            <a:schemeClr val="accent5">
              <a:lumMod val="60000"/>
              <a:lumOff val="40000"/>
            </a:schemeClr>
          </a:solidFill>
          <a:ln w="6350">
            <a:solidFill>
              <a:srgbClr val="002060"/>
            </a:solidFill>
          </a:ln>
          <a:effectLst/>
        </c:spPr>
      </c:pivotFmt>
      <c:pivotFmt>
        <c:idx val="14"/>
        <c:spPr>
          <a:solidFill>
            <a:schemeClr val="tx2">
              <a:lumMod val="60000"/>
              <a:lumOff val="40000"/>
            </a:schemeClr>
          </a:solidFill>
          <a:ln w="6350">
            <a:solidFill>
              <a:srgbClr val="002060"/>
            </a:solidFill>
          </a:ln>
          <a:effectLst/>
        </c:spPr>
      </c:pivotFmt>
      <c:pivotFmt>
        <c:idx val="15"/>
        <c:spPr>
          <a:solidFill>
            <a:srgbClr val="00B0F0"/>
          </a:solidFill>
          <a:ln w="6350">
            <a:solidFill>
              <a:srgbClr val="002060"/>
            </a:solidFill>
          </a:ln>
          <a:effectLst/>
        </c:spPr>
      </c:pivotFmt>
      <c:pivotFmt>
        <c:idx val="16"/>
        <c:spPr>
          <a:solidFill>
            <a:schemeClr val="accent2">
              <a:lumMod val="75000"/>
            </a:schemeClr>
          </a:solidFill>
          <a:ln w="6350">
            <a:solidFill>
              <a:srgbClr val="002060"/>
            </a:solidFill>
          </a:ln>
          <a:effectLst/>
        </c:spPr>
      </c:pivotFmt>
      <c:pivotFmt>
        <c:idx val="17"/>
        <c:spPr>
          <a:solidFill>
            <a:schemeClr val="accent6">
              <a:lumMod val="75000"/>
            </a:schemeClr>
          </a:solidFill>
          <a:ln w="6350">
            <a:solidFill>
              <a:srgbClr val="002060"/>
            </a:solidFill>
          </a:ln>
          <a:effectLst/>
        </c:spPr>
      </c:pivotFmt>
      <c:pivotFmt>
        <c:idx val="18"/>
        <c:spPr>
          <a:solidFill>
            <a:schemeClr val="accent6"/>
          </a:solidFill>
          <a:ln w="6350">
            <a:solidFill>
              <a:srgbClr val="002060"/>
            </a:solidFill>
          </a:ln>
          <a:effectLst/>
        </c:spPr>
      </c:pivotFmt>
      <c:pivotFmt>
        <c:idx val="19"/>
        <c:spPr>
          <a:solidFill>
            <a:srgbClr val="FFC000"/>
          </a:solidFill>
          <a:ln w="6350">
            <a:solidFill>
              <a:srgbClr val="002060"/>
            </a:solidFill>
          </a:ln>
          <a:effectLst/>
        </c:spPr>
      </c:pivotFmt>
      <c:pivotFmt>
        <c:idx val="20"/>
        <c:spPr>
          <a:ln w="28575" cap="rnd">
            <a:solidFill>
              <a:srgbClr val="FF0000"/>
            </a:solidFill>
            <a:prstDash val="dash"/>
            <a:round/>
          </a:ln>
          <a:effectLst/>
        </c:spPr>
        <c:marker>
          <c:symbol val="none"/>
        </c:marker>
      </c:pivotFmt>
    </c:pivotFmts>
    <c:plotArea>
      <c:layout/>
      <c:barChart>
        <c:barDir val="col"/>
        <c:grouping val="clustered"/>
        <c:varyColors val="0"/>
        <c:ser>
          <c:idx val="0"/>
          <c:order val="0"/>
          <c:tx>
            <c:strRef>
              <c:f>'CALCULATION- DÀI'!$B$30</c:f>
              <c:strCache>
                <c:ptCount val="1"/>
                <c:pt idx="0">
                  <c:v>Average of KPI-dài</c:v>
                </c:pt>
              </c:strCache>
            </c:strRef>
          </c:tx>
          <c:spPr>
            <a:solidFill>
              <a:schemeClr val="accent1">
                <a:tint val="58000"/>
              </a:schemeClr>
            </a:solidFill>
            <a:ln w="6350">
              <a:solidFill>
                <a:srgbClr val="002060"/>
              </a:solidFill>
            </a:ln>
            <a:effectLst/>
          </c:spPr>
          <c:invertIfNegative val="0"/>
          <c:dPt>
            <c:idx val="0"/>
            <c:invertIfNegative val="0"/>
            <c:bubble3D val="0"/>
            <c:spPr>
              <a:solidFill>
                <a:schemeClr val="accent2"/>
              </a:solidFill>
              <a:ln w="6350">
                <a:solidFill>
                  <a:srgbClr val="002060"/>
                </a:solidFill>
              </a:ln>
              <a:effectLst/>
            </c:spPr>
            <c:extLst>
              <c:ext xmlns:c16="http://schemas.microsoft.com/office/drawing/2014/chart" uri="{C3380CC4-5D6E-409C-BE32-E72D297353CC}">
                <c16:uniqueId val="{00000000-B2DE-41E6-8A20-37E7E5F78C52}"/>
              </c:ext>
            </c:extLst>
          </c:dPt>
          <c:dPt>
            <c:idx val="1"/>
            <c:invertIfNegative val="0"/>
            <c:bubble3D val="0"/>
            <c:spPr>
              <a:solidFill>
                <a:schemeClr val="accent5">
                  <a:lumMod val="60000"/>
                  <a:lumOff val="40000"/>
                </a:schemeClr>
              </a:solidFill>
              <a:ln w="6350">
                <a:solidFill>
                  <a:srgbClr val="002060"/>
                </a:solidFill>
              </a:ln>
              <a:effectLst/>
            </c:spPr>
            <c:extLst>
              <c:ext xmlns:c16="http://schemas.microsoft.com/office/drawing/2014/chart" uri="{C3380CC4-5D6E-409C-BE32-E72D297353CC}">
                <c16:uniqueId val="{00000001-B2DE-41E6-8A20-37E7E5F78C52}"/>
              </c:ext>
            </c:extLst>
          </c:dPt>
          <c:dPt>
            <c:idx val="2"/>
            <c:invertIfNegative val="0"/>
            <c:bubble3D val="0"/>
            <c:spPr>
              <a:solidFill>
                <a:schemeClr val="accent6">
                  <a:lumMod val="75000"/>
                </a:schemeClr>
              </a:solidFill>
              <a:ln w="6350">
                <a:solidFill>
                  <a:srgbClr val="002060"/>
                </a:solidFill>
              </a:ln>
              <a:effectLst/>
            </c:spPr>
            <c:extLst>
              <c:ext xmlns:c16="http://schemas.microsoft.com/office/drawing/2014/chart" uri="{C3380CC4-5D6E-409C-BE32-E72D297353CC}">
                <c16:uniqueId val="{00000005-6FA0-4929-91DF-46FAEE7EDBDF}"/>
              </c:ext>
            </c:extLst>
          </c:dPt>
          <c:dPt>
            <c:idx val="3"/>
            <c:invertIfNegative val="0"/>
            <c:bubble3D val="0"/>
            <c:spPr>
              <a:solidFill>
                <a:schemeClr val="accent6"/>
              </a:solidFill>
              <a:ln w="6350">
                <a:solidFill>
                  <a:srgbClr val="002060"/>
                </a:solidFill>
              </a:ln>
              <a:effectLst/>
            </c:spPr>
            <c:extLst>
              <c:ext xmlns:c16="http://schemas.microsoft.com/office/drawing/2014/chart" uri="{C3380CC4-5D6E-409C-BE32-E72D297353CC}">
                <c16:uniqueId val="{00000007-6FA0-4929-91DF-46FAEE7EDBDF}"/>
              </c:ext>
            </c:extLst>
          </c:dPt>
          <c:dPt>
            <c:idx val="4"/>
            <c:invertIfNegative val="0"/>
            <c:bubble3D val="0"/>
            <c:spPr>
              <a:solidFill>
                <a:srgbClr val="FFC000"/>
              </a:solidFill>
              <a:ln w="6350">
                <a:solidFill>
                  <a:srgbClr val="002060"/>
                </a:solidFill>
              </a:ln>
              <a:effectLst/>
            </c:spPr>
            <c:extLst>
              <c:ext xmlns:c16="http://schemas.microsoft.com/office/drawing/2014/chart" uri="{C3380CC4-5D6E-409C-BE32-E72D297353CC}">
                <c16:uniqueId val="{00000009-6FA0-4929-91DF-46FAEE7EDBDF}"/>
              </c:ext>
            </c:extLst>
          </c:dPt>
          <c:dLbls>
            <c:spPr>
              <a:noFill/>
              <a:ln>
                <a:noFill/>
              </a:ln>
              <a:effectLst/>
            </c:spPr>
            <c:txPr>
              <a:bodyPr rot="0" spcFirstLastPara="1" vertOverflow="ellipsis" vert="horz" wrap="square" anchor="ctr" anchorCtr="1"/>
              <a:lstStyle/>
              <a:p>
                <a:pPr>
                  <a:defRPr sz="900" b="0" i="0" u="none" strike="noStrike" kern="1200" baseline="0">
                    <a:solidFill>
                      <a:schemeClr val="accent5">
                        <a:lumMod val="50000"/>
                      </a:schemeClr>
                    </a:solidFill>
                    <a:latin typeface="UTM Bebas" panose="02040603050506020204" pitchFamily="18" charset="0"/>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'CALCULATION- DÀI'!$A$31:$A$36</c:f>
              <c:strCache>
                <c:ptCount val="5"/>
                <c:pt idx="0">
                  <c:v>INTERLOG</c:v>
                </c:pt>
                <c:pt idx="1">
                  <c:v>LOGITEM</c:v>
                </c:pt>
                <c:pt idx="2">
                  <c:v>PHUONG ANH</c:v>
                </c:pt>
                <c:pt idx="3">
                  <c:v>THUAN THANH TIN</c:v>
                </c:pt>
                <c:pt idx="4">
                  <c:v>VINAFCO</c:v>
                </c:pt>
              </c:strCache>
            </c:strRef>
          </c:cat>
          <c:val>
            <c:numRef>
              <c:f>'CALCULATION- DÀI'!$B$31:$B$36</c:f>
              <c:numCache>
                <c:formatCode>0.0%</c:formatCode>
                <c:ptCount val="5"/>
                <c:pt idx="0">
                  <c:v>0.97099999999999997</c:v>
                </c:pt>
                <c:pt idx="1">
                  <c:v>1</c:v>
                </c:pt>
                <c:pt idx="2">
                  <c:v>1</c:v>
                </c:pt>
                <c:pt idx="3">
                  <c:v>0.9909</c:v>
                </c:pt>
                <c:pt idx="4">
                  <c:v>0.98183333333333334</c:v>
                </c:pt>
              </c:numCache>
            </c:numRef>
          </c:val>
          <c:extLst>
            <c:ext xmlns:c16="http://schemas.microsoft.com/office/drawing/2014/chart" uri="{C3380CC4-5D6E-409C-BE32-E72D297353CC}">
              <c16:uniqueId val="{00000000-8F99-45E2-9860-74DFC9EDDBB8}"/>
            </c:ext>
          </c:extLst>
        </c:ser>
        <c:dLbls>
          <c:showLegendKey val="0"/>
          <c:showVal val="0"/>
          <c:showCatName val="0"/>
          <c:showSerName val="0"/>
          <c:showPercent val="0"/>
          <c:showBubbleSize val="0"/>
        </c:dLbls>
        <c:gapWidth val="219"/>
        <c:overlap val="-27"/>
        <c:axId val="472969807"/>
        <c:axId val="472983727"/>
      </c:barChart>
      <c:lineChart>
        <c:grouping val="standard"/>
        <c:varyColors val="0"/>
        <c:ser>
          <c:idx val="1"/>
          <c:order val="1"/>
          <c:tx>
            <c:strRef>
              <c:f>'CALCULATION- DÀI'!$C$30</c:f>
              <c:strCache>
                <c:ptCount val="1"/>
                <c:pt idx="0">
                  <c:v>Excellent</c:v>
                </c:pt>
              </c:strCache>
            </c:strRef>
          </c:tx>
          <c:spPr>
            <a:ln w="28575" cap="rnd">
              <a:solidFill>
                <a:srgbClr val="00B050"/>
              </a:solidFill>
              <a:prstDash val="dash"/>
              <a:round/>
            </a:ln>
            <a:effectLst/>
          </c:spPr>
          <c:marker>
            <c:symbol val="none"/>
          </c:marker>
          <c:cat>
            <c:strRef>
              <c:f>'CALCULATION- DÀI'!$A$31:$A$36</c:f>
              <c:strCache>
                <c:ptCount val="5"/>
                <c:pt idx="0">
                  <c:v>INTERLOG</c:v>
                </c:pt>
                <c:pt idx="1">
                  <c:v>LOGITEM</c:v>
                </c:pt>
                <c:pt idx="2">
                  <c:v>PHUONG ANH</c:v>
                </c:pt>
                <c:pt idx="3">
                  <c:v>THUAN THANH TIN</c:v>
                </c:pt>
                <c:pt idx="4">
                  <c:v>VINAFCO</c:v>
                </c:pt>
              </c:strCache>
            </c:strRef>
          </c:cat>
          <c:val>
            <c:numRef>
              <c:f>'CALCULATION- DÀI'!$C$31:$C$36</c:f>
              <c:numCache>
                <c:formatCode>0.0%</c:formatCode>
                <c:ptCount val="5"/>
                <c:pt idx="0">
                  <c:v>0.95</c:v>
                </c:pt>
                <c:pt idx="1">
                  <c:v>0.95</c:v>
                </c:pt>
                <c:pt idx="2">
                  <c:v>0.95</c:v>
                </c:pt>
                <c:pt idx="3">
                  <c:v>0.95</c:v>
                </c:pt>
                <c:pt idx="4">
                  <c:v>0.95</c:v>
                </c:pt>
              </c:numCache>
            </c:numRef>
          </c:val>
          <c:smooth val="0"/>
          <c:extLst>
            <c:ext xmlns:c16="http://schemas.microsoft.com/office/drawing/2014/chart" uri="{C3380CC4-5D6E-409C-BE32-E72D297353CC}">
              <c16:uniqueId val="{00000001-8F99-45E2-9860-74DFC9EDDBB8}"/>
            </c:ext>
          </c:extLst>
        </c:ser>
        <c:ser>
          <c:idx val="2"/>
          <c:order val="2"/>
          <c:tx>
            <c:strRef>
              <c:f>'CALCULATION- DÀI'!$D$30</c:f>
              <c:strCache>
                <c:ptCount val="1"/>
                <c:pt idx="0">
                  <c:v>Good.</c:v>
                </c:pt>
              </c:strCache>
            </c:strRef>
          </c:tx>
          <c:spPr>
            <a:ln w="28575" cap="rnd">
              <a:solidFill>
                <a:schemeClr val="accent4"/>
              </a:solidFill>
              <a:prstDash val="dash"/>
              <a:round/>
            </a:ln>
            <a:effectLst/>
          </c:spPr>
          <c:marker>
            <c:symbol val="none"/>
          </c:marker>
          <c:cat>
            <c:strRef>
              <c:f>'CALCULATION- DÀI'!$A$31:$A$36</c:f>
              <c:strCache>
                <c:ptCount val="5"/>
                <c:pt idx="0">
                  <c:v>INTERLOG</c:v>
                </c:pt>
                <c:pt idx="1">
                  <c:v>LOGITEM</c:v>
                </c:pt>
                <c:pt idx="2">
                  <c:v>PHUONG ANH</c:v>
                </c:pt>
                <c:pt idx="3">
                  <c:v>THUAN THANH TIN</c:v>
                </c:pt>
                <c:pt idx="4">
                  <c:v>VINAFCO</c:v>
                </c:pt>
              </c:strCache>
            </c:strRef>
          </c:cat>
          <c:val>
            <c:numRef>
              <c:f>'CALCULATION- DÀI'!$D$31:$D$36</c:f>
              <c:numCache>
                <c:formatCode>0.0%</c:formatCode>
                <c:ptCount val="5"/>
                <c:pt idx="0">
                  <c:v>0.9</c:v>
                </c:pt>
                <c:pt idx="1">
                  <c:v>0.9</c:v>
                </c:pt>
                <c:pt idx="2">
                  <c:v>0.9</c:v>
                </c:pt>
                <c:pt idx="3">
                  <c:v>0.9</c:v>
                </c:pt>
                <c:pt idx="4">
                  <c:v>0.9</c:v>
                </c:pt>
              </c:numCache>
            </c:numRef>
          </c:val>
          <c:smooth val="0"/>
          <c:extLst>
            <c:ext xmlns:c16="http://schemas.microsoft.com/office/drawing/2014/chart" uri="{C3380CC4-5D6E-409C-BE32-E72D297353CC}">
              <c16:uniqueId val="{00000002-8F99-45E2-9860-74DFC9EDDBB8}"/>
            </c:ext>
          </c:extLst>
        </c:ser>
        <c:ser>
          <c:idx val="3"/>
          <c:order val="3"/>
          <c:tx>
            <c:strRef>
              <c:f>'CALCULATION- DÀI'!$E$30</c:f>
              <c:strCache>
                <c:ptCount val="1"/>
                <c:pt idx="0">
                  <c:v>Need to improve</c:v>
                </c:pt>
              </c:strCache>
            </c:strRef>
          </c:tx>
          <c:spPr>
            <a:ln w="28575" cap="rnd">
              <a:solidFill>
                <a:srgbClr val="FF0000"/>
              </a:solidFill>
              <a:prstDash val="dash"/>
              <a:round/>
            </a:ln>
            <a:effectLst/>
          </c:spPr>
          <c:marker>
            <c:symbol val="none"/>
          </c:marker>
          <c:cat>
            <c:strRef>
              <c:f>'CALCULATION- DÀI'!$A$31:$A$36</c:f>
              <c:strCache>
                <c:ptCount val="5"/>
                <c:pt idx="0">
                  <c:v>INTERLOG</c:v>
                </c:pt>
                <c:pt idx="1">
                  <c:v>LOGITEM</c:v>
                </c:pt>
                <c:pt idx="2">
                  <c:v>PHUONG ANH</c:v>
                </c:pt>
                <c:pt idx="3">
                  <c:v>THUAN THANH TIN</c:v>
                </c:pt>
                <c:pt idx="4">
                  <c:v>VINAFCO</c:v>
                </c:pt>
              </c:strCache>
            </c:strRef>
          </c:cat>
          <c:val>
            <c:numRef>
              <c:f>'CALCULATION- DÀI'!$E$31:$E$36</c:f>
              <c:numCache>
                <c:formatCode>0.0%</c:formatCode>
                <c:ptCount val="5"/>
                <c:pt idx="0">
                  <c:v>0.85</c:v>
                </c:pt>
                <c:pt idx="1">
                  <c:v>0.85</c:v>
                </c:pt>
                <c:pt idx="2">
                  <c:v>0.85</c:v>
                </c:pt>
                <c:pt idx="3">
                  <c:v>0.85</c:v>
                </c:pt>
                <c:pt idx="4">
                  <c:v>0.85</c:v>
                </c:pt>
              </c:numCache>
            </c:numRef>
          </c:val>
          <c:smooth val="0"/>
          <c:extLst>
            <c:ext xmlns:c16="http://schemas.microsoft.com/office/drawing/2014/chart" uri="{C3380CC4-5D6E-409C-BE32-E72D297353CC}">
              <c16:uniqueId val="{00000003-8F99-45E2-9860-74DFC9EDDBB8}"/>
            </c:ext>
          </c:extLst>
        </c:ser>
        <c:dLbls>
          <c:showLegendKey val="0"/>
          <c:showVal val="0"/>
          <c:showCatName val="0"/>
          <c:showSerName val="0"/>
          <c:showPercent val="0"/>
          <c:showBubbleSize val="0"/>
        </c:dLbls>
        <c:marker val="1"/>
        <c:smooth val="0"/>
        <c:axId val="472969807"/>
        <c:axId val="472983727"/>
      </c:lineChart>
      <c:catAx>
        <c:axId val="47296980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accent5">
                    <a:lumMod val="50000"/>
                  </a:schemeClr>
                </a:solidFill>
                <a:latin typeface="UTM Bebas" panose="02040603050506020204" pitchFamily="18" charset="0"/>
                <a:ea typeface="+mn-ea"/>
                <a:cs typeface="+mn-cs"/>
              </a:defRPr>
            </a:pPr>
            <a:endParaRPr lang="en-US"/>
          </a:p>
        </c:txPr>
        <c:crossAx val="472983727"/>
        <c:crosses val="autoZero"/>
        <c:auto val="1"/>
        <c:lblAlgn val="ctr"/>
        <c:lblOffset val="100"/>
        <c:noMultiLvlLbl val="0"/>
      </c:catAx>
      <c:valAx>
        <c:axId val="472983727"/>
        <c:scaling>
          <c:orientation val="minMax"/>
        </c:scaling>
        <c:delete val="1"/>
        <c:axPos val="l"/>
        <c:numFmt formatCode="0.0%" sourceLinked="1"/>
        <c:majorTickMark val="none"/>
        <c:minorTickMark val="none"/>
        <c:tickLblPos val="nextTo"/>
        <c:crossAx val="472969807"/>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accent6">
        <a:lumMod val="20000"/>
        <a:lumOff val="80000"/>
      </a:schemeClr>
    </a:solidFill>
    <a:ln w="25400" cap="flat" cmpd="sng" algn="ctr">
      <a:solidFill>
        <a:schemeClr val="accent6">
          <a:lumMod val="75000"/>
        </a:schemeClr>
      </a:solidFill>
      <a:prstDash val="lgDash"/>
      <a:round/>
    </a:ln>
    <a:effectLst/>
  </c:spPr>
  <c:txPr>
    <a:bodyPr/>
    <a:lstStyle/>
    <a:p>
      <a:pPr>
        <a:defRPr>
          <a:solidFill>
            <a:schemeClr val="accent5">
              <a:lumMod val="50000"/>
            </a:schemeClr>
          </a:solidFill>
          <a:latin typeface="UTM Bebas" panose="02040603050506020204" pitchFamily="18" charset="0"/>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7"/>
    </mc:Choice>
    <mc:Fallback>
      <c:style val="7"/>
    </mc:Fallback>
  </mc:AlternateContent>
  <c:pivotSource>
    <c:name>[Dashboard - DAV Transportation Cost.xlsm]CALCULATION- LTL!chi phí - LTL</c:name>
    <c:fmtId val="4"/>
  </c:pivotSource>
  <c:chart>
    <c:autoTitleDeleted val="0"/>
    <c:pivotFmts>
      <c:pivotFmt>
        <c:idx val="0"/>
        <c:spPr>
          <a:solidFill>
            <a:schemeClr val="accent5"/>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5"/>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5"/>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5"/>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5"/>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5"/>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5"/>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Arial Narrow" panose="020B0606020202030204" pitchFamily="34"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5"/>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Arial Narrow" panose="020B0606020202030204" pitchFamily="34"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5"/>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Arial Narrow" panose="020B0606020202030204" pitchFamily="34"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'CALCULATION- LTL'!$B$14:$B$15</c:f>
              <c:strCache>
                <c:ptCount val="1"/>
                <c:pt idx="0">
                  <c:v>4</c:v>
                </c:pt>
              </c:strCache>
            </c:strRef>
          </c:tx>
          <c:spPr>
            <a:solidFill>
              <a:schemeClr val="accent5">
                <a:tint val="65000"/>
              </a:schemeClr>
            </a:solidFill>
            <a:ln>
              <a:noFill/>
            </a:ln>
            <a:effectLst/>
          </c:spPr>
          <c:invertIfNegative val="0"/>
          <c:cat>
            <c:strRef>
              <c:f>'CALCULATION- LTL'!$A$16:$A$24</c:f>
              <c:strCache>
                <c:ptCount val="8"/>
                <c:pt idx="0">
                  <c:v>CT</c:v>
                </c:pt>
                <c:pt idx="1">
                  <c:v>DN</c:v>
                </c:pt>
                <c:pt idx="2">
                  <c:v>HCM</c:v>
                </c:pt>
                <c:pt idx="3">
                  <c:v>HN</c:v>
                </c:pt>
                <c:pt idx="4">
                  <c:v>HP</c:v>
                </c:pt>
                <c:pt idx="5">
                  <c:v>KH</c:v>
                </c:pt>
                <c:pt idx="6">
                  <c:v>NA</c:v>
                </c:pt>
                <c:pt idx="7">
                  <c:v>PC</c:v>
                </c:pt>
              </c:strCache>
            </c:strRef>
          </c:cat>
          <c:val>
            <c:numRef>
              <c:f>'CALCULATION- LTL'!$B$16:$B$24</c:f>
              <c:numCache>
                <c:formatCode>_(* #,##0.00_);_(* \(#,##0.00\);_(* "-"??_);_(@_)</c:formatCode>
                <c:ptCount val="8"/>
                <c:pt idx="0">
                  <c:v>3225000</c:v>
                </c:pt>
                <c:pt idx="1">
                  <c:v>160250010</c:v>
                </c:pt>
                <c:pt idx="2">
                  <c:v>10844925</c:v>
                </c:pt>
                <c:pt idx="3">
                  <c:v>7590250</c:v>
                </c:pt>
                <c:pt idx="5">
                  <c:v>5652995.7424999997</c:v>
                </c:pt>
                <c:pt idx="6">
                  <c:v>125000</c:v>
                </c:pt>
                <c:pt idx="7">
                  <c:v>634714972</c:v>
                </c:pt>
              </c:numCache>
            </c:numRef>
          </c:val>
          <c:extLst>
            <c:ext xmlns:c16="http://schemas.microsoft.com/office/drawing/2014/chart" uri="{C3380CC4-5D6E-409C-BE32-E72D297353CC}">
              <c16:uniqueId val="{00000000-663F-4272-8F74-684AC027CFAB}"/>
            </c:ext>
          </c:extLst>
        </c:ser>
        <c:ser>
          <c:idx val="1"/>
          <c:order val="1"/>
          <c:tx>
            <c:strRef>
              <c:f>'CALCULATION- LTL'!$C$14:$C$15</c:f>
              <c:strCache>
                <c:ptCount val="1"/>
                <c:pt idx="0">
                  <c:v>5</c:v>
                </c:pt>
              </c:strCache>
            </c:strRef>
          </c:tx>
          <c:spPr>
            <a:solidFill>
              <a:schemeClr val="accent5"/>
            </a:solidFill>
            <a:ln>
              <a:noFill/>
            </a:ln>
            <a:effectLst/>
          </c:spPr>
          <c:invertIfNegative val="0"/>
          <c:cat>
            <c:strRef>
              <c:f>'CALCULATION- LTL'!$A$16:$A$24</c:f>
              <c:strCache>
                <c:ptCount val="8"/>
                <c:pt idx="0">
                  <c:v>CT</c:v>
                </c:pt>
                <c:pt idx="1">
                  <c:v>DN</c:v>
                </c:pt>
                <c:pt idx="2">
                  <c:v>HCM</c:v>
                </c:pt>
                <c:pt idx="3">
                  <c:v>HN</c:v>
                </c:pt>
                <c:pt idx="4">
                  <c:v>HP</c:v>
                </c:pt>
                <c:pt idx="5">
                  <c:v>KH</c:v>
                </c:pt>
                <c:pt idx="6">
                  <c:v>NA</c:v>
                </c:pt>
                <c:pt idx="7">
                  <c:v>PC</c:v>
                </c:pt>
              </c:strCache>
            </c:strRef>
          </c:cat>
          <c:val>
            <c:numRef>
              <c:f>'CALCULATION- LTL'!$C$16:$C$24</c:f>
              <c:numCache>
                <c:formatCode>_(* #,##0.00_);_(* \(#,##0.00\);_(* "-"??_);_(@_)</c:formatCode>
                <c:ptCount val="8"/>
                <c:pt idx="0">
                  <c:v>26617485</c:v>
                </c:pt>
                <c:pt idx="1">
                  <c:v>153695583</c:v>
                </c:pt>
                <c:pt idx="2">
                  <c:v>18032675.510280728</c:v>
                </c:pt>
                <c:pt idx="4">
                  <c:v>2452000</c:v>
                </c:pt>
                <c:pt idx="5">
                  <c:v>4879320.3125</c:v>
                </c:pt>
                <c:pt idx="7">
                  <c:v>878704408</c:v>
                </c:pt>
              </c:numCache>
            </c:numRef>
          </c:val>
          <c:extLst>
            <c:ext xmlns:c16="http://schemas.microsoft.com/office/drawing/2014/chart" uri="{C3380CC4-5D6E-409C-BE32-E72D297353CC}">
              <c16:uniqueId val="{00000001-BAD0-4681-9B4B-B42605D5B4F9}"/>
            </c:ext>
          </c:extLst>
        </c:ser>
        <c:ser>
          <c:idx val="2"/>
          <c:order val="2"/>
          <c:tx>
            <c:strRef>
              <c:f>'CALCULATION- LTL'!$D$14:$D$15</c:f>
              <c:strCache>
                <c:ptCount val="1"/>
                <c:pt idx="0">
                  <c:v>6</c:v>
                </c:pt>
              </c:strCache>
            </c:strRef>
          </c:tx>
          <c:spPr>
            <a:solidFill>
              <a:schemeClr val="accent5">
                <a:shade val="65000"/>
              </a:schemeClr>
            </a:solidFill>
            <a:ln>
              <a:noFill/>
            </a:ln>
            <a:effectLst/>
          </c:spPr>
          <c:invertIfNegative val="0"/>
          <c:cat>
            <c:strRef>
              <c:f>'CALCULATION- LTL'!$A$16:$A$24</c:f>
              <c:strCache>
                <c:ptCount val="8"/>
                <c:pt idx="0">
                  <c:v>CT</c:v>
                </c:pt>
                <c:pt idx="1">
                  <c:v>DN</c:v>
                </c:pt>
                <c:pt idx="2">
                  <c:v>HCM</c:v>
                </c:pt>
                <c:pt idx="3">
                  <c:v>HN</c:v>
                </c:pt>
                <c:pt idx="4">
                  <c:v>HP</c:v>
                </c:pt>
                <c:pt idx="5">
                  <c:v>KH</c:v>
                </c:pt>
                <c:pt idx="6">
                  <c:v>NA</c:v>
                </c:pt>
                <c:pt idx="7">
                  <c:v>PC</c:v>
                </c:pt>
              </c:strCache>
            </c:strRef>
          </c:cat>
          <c:val>
            <c:numRef>
              <c:f>'CALCULATION- LTL'!$D$16:$D$24</c:f>
              <c:numCache>
                <c:formatCode>_(* #,##0.00_);_(* \(#,##0.00\);_(* "-"??_);_(@_)</c:formatCode>
                <c:ptCount val="8"/>
                <c:pt idx="0">
                  <c:v>12824102.5</c:v>
                </c:pt>
                <c:pt idx="1">
                  <c:v>115969368</c:v>
                </c:pt>
                <c:pt idx="2">
                  <c:v>16749259.125866666</c:v>
                </c:pt>
                <c:pt idx="3">
                  <c:v>58334100</c:v>
                </c:pt>
                <c:pt idx="4">
                  <c:v>577800</c:v>
                </c:pt>
                <c:pt idx="5">
                  <c:v>5441734</c:v>
                </c:pt>
                <c:pt idx="7">
                  <c:v>811718662</c:v>
                </c:pt>
              </c:numCache>
            </c:numRef>
          </c:val>
          <c:extLst>
            <c:ext xmlns:c16="http://schemas.microsoft.com/office/drawing/2014/chart" uri="{C3380CC4-5D6E-409C-BE32-E72D297353CC}">
              <c16:uniqueId val="{00000002-BAD0-4681-9B4B-B42605D5B4F9}"/>
            </c:ext>
          </c:extLst>
        </c:ser>
        <c:dLbls>
          <c:showLegendKey val="0"/>
          <c:showVal val="0"/>
          <c:showCatName val="0"/>
          <c:showSerName val="0"/>
          <c:showPercent val="0"/>
          <c:showBubbleSize val="0"/>
        </c:dLbls>
        <c:gapWidth val="219"/>
        <c:overlap val="-27"/>
        <c:axId val="614503631"/>
        <c:axId val="614505071"/>
      </c:barChart>
      <c:catAx>
        <c:axId val="61450363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Arial Narrow" panose="020B0606020202030204" pitchFamily="34" charset="0"/>
                <a:ea typeface="+mn-ea"/>
                <a:cs typeface="+mn-cs"/>
              </a:defRPr>
            </a:pPr>
            <a:endParaRPr lang="en-US"/>
          </a:p>
        </c:txPr>
        <c:crossAx val="614505071"/>
        <c:crosses val="autoZero"/>
        <c:auto val="1"/>
        <c:lblAlgn val="ctr"/>
        <c:lblOffset val="100"/>
        <c:noMultiLvlLbl val="0"/>
      </c:catAx>
      <c:valAx>
        <c:axId val="614505071"/>
        <c:scaling>
          <c:orientation val="minMax"/>
        </c:scaling>
        <c:delete val="0"/>
        <c:axPos val="l"/>
        <c:numFmt formatCode="_(* #,##0.00_);_(* \(#,##0.00\);_(*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Arial Narrow" panose="020B0606020202030204" pitchFamily="34" charset="0"/>
                <a:ea typeface="+mn-ea"/>
                <a:cs typeface="+mn-cs"/>
              </a:defRPr>
            </a:pPr>
            <a:endParaRPr lang="en-US"/>
          </a:p>
        </c:txPr>
        <c:crossAx val="614503631"/>
        <c:crosses val="autoZero"/>
        <c:crossBetween val="between"/>
        <c:dispUnits>
          <c:builtInUnit val="millions"/>
          <c:dispUnitsLbl>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Arial Narrow" panose="020B0606020202030204" pitchFamily="34" charset="0"/>
                    <a:ea typeface="+mn-ea"/>
                    <a:cs typeface="+mn-cs"/>
                  </a:defRPr>
                </a:pPr>
                <a:endParaRPr lang="en-US"/>
              </a:p>
            </c:txPr>
          </c:dispUnitsLbl>
        </c:dispUnits>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1" i="0" u="none" strike="noStrike" kern="1200" baseline="0">
              <a:solidFill>
                <a:schemeClr val="tx1">
                  <a:lumMod val="65000"/>
                  <a:lumOff val="35000"/>
                </a:schemeClr>
              </a:solidFill>
              <a:latin typeface="Arial Narrow" panose="020B0606020202030204" pitchFamily="34" charset="0"/>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accent6">
        <a:lumMod val="20000"/>
        <a:lumOff val="80000"/>
      </a:schemeClr>
    </a:solidFill>
    <a:ln w="25400" cap="flat" cmpd="sng" algn="ctr">
      <a:solidFill>
        <a:schemeClr val="accent6">
          <a:lumMod val="75000"/>
        </a:schemeClr>
      </a:solidFill>
      <a:prstDash val="lgDash"/>
      <a:round/>
    </a:ln>
    <a:effectLst/>
  </c:spPr>
  <c:txPr>
    <a:bodyPr/>
    <a:lstStyle/>
    <a:p>
      <a:pPr>
        <a:defRPr>
          <a:latin typeface="Arial Narrow" panose="020B0606020202030204" pitchFamily="34" charset="0"/>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7"/>
    </mc:Choice>
    <mc:Fallback>
      <c:style val="7"/>
    </mc:Fallback>
  </mc:AlternateContent>
  <c:pivotSource>
    <c:name>[Dashboard - DAV Transportation Cost.xlsm]CALCULATION- LTL!KPI - LTL</c:name>
    <c:fmtId val="4"/>
  </c:pivotSource>
  <c:chart>
    <c:title>
      <c:tx>
        <c:rich>
          <a:bodyPr rot="0" spcFirstLastPara="1" vertOverflow="ellipsis" vert="horz" wrap="square" anchor="ctr" anchorCtr="1"/>
          <a:lstStyle/>
          <a:p>
            <a:pPr>
              <a:defRPr sz="1600" b="0" i="0" u="none" strike="noStrike" kern="1200" spc="0" baseline="0">
                <a:solidFill>
                  <a:schemeClr val="accent5">
                    <a:lumMod val="50000"/>
                  </a:schemeClr>
                </a:solidFill>
                <a:latin typeface="UTM Bebas" panose="02040603050506020204" pitchFamily="18" charset="0"/>
                <a:ea typeface="+mn-ea"/>
                <a:cs typeface="+mn-cs"/>
              </a:defRPr>
            </a:pPr>
            <a:r>
              <a:rPr lang="en-US" sz="1600"/>
              <a:t>KPI</a:t>
            </a:r>
          </a:p>
        </c:rich>
      </c:tx>
      <c:overlay val="0"/>
      <c:spPr>
        <a:noFill/>
        <a:ln>
          <a:noFill/>
        </a:ln>
        <a:effectLst/>
      </c:spPr>
      <c:txPr>
        <a:bodyPr rot="0" spcFirstLastPara="1" vertOverflow="ellipsis" vert="horz" wrap="square" anchor="ctr" anchorCtr="1"/>
        <a:lstStyle/>
        <a:p>
          <a:pPr>
            <a:defRPr sz="1600" b="0" i="0" u="none" strike="noStrike" kern="1200" spc="0" baseline="0">
              <a:solidFill>
                <a:schemeClr val="accent5">
                  <a:lumMod val="50000"/>
                </a:schemeClr>
              </a:solidFill>
              <a:latin typeface="UTM Bebas" panose="02040603050506020204" pitchFamily="18" charset="0"/>
              <a:ea typeface="+mn-ea"/>
              <a:cs typeface="+mn-cs"/>
            </a:defRPr>
          </a:pPr>
          <a:endParaRPr lang="en-US"/>
        </a:p>
      </c:txPr>
    </c:title>
    <c:autoTitleDeleted val="0"/>
    <c:pivotFmts>
      <c:pivotFmt>
        <c:idx val="0"/>
        <c:spPr>
          <a:solidFill>
            <a:schemeClr val="accent5"/>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5"/>
          </a:solidFill>
          <a:ln w="28575" cap="rnd">
            <a:solidFill>
              <a:schemeClr val="accent6">
                <a:lumMod val="75000"/>
              </a:schemeClr>
            </a:solidFill>
            <a:prstDash val="dash"/>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5"/>
          </a:solidFill>
          <a:ln w="28575" cap="rnd">
            <a:solidFill>
              <a:schemeClr val="accent4"/>
            </a:solidFill>
            <a:prstDash val="dash"/>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5"/>
          </a:solidFill>
          <a:ln w="28575" cap="rnd">
            <a:solidFill>
              <a:schemeClr val="accent2"/>
            </a:solidFill>
            <a:prstDash val="dash"/>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5"/>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5"/>
          </a:solidFill>
          <a:ln w="28575" cap="rnd">
            <a:solidFill>
              <a:schemeClr val="accent6">
                <a:lumMod val="75000"/>
              </a:schemeClr>
            </a:solidFill>
            <a:prstDash val="dash"/>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5"/>
          </a:solidFill>
          <a:ln w="28575" cap="rnd">
            <a:solidFill>
              <a:schemeClr val="accent4"/>
            </a:solidFill>
            <a:prstDash val="dash"/>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5"/>
          </a:solidFill>
          <a:ln w="28575" cap="rnd">
            <a:solidFill>
              <a:schemeClr val="accent2"/>
            </a:solidFill>
            <a:prstDash val="dash"/>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5"/>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anchor="ctr" anchorCtr="1"/>
            <a:lstStyle/>
            <a:p>
              <a:pPr>
                <a:defRPr sz="1050" b="0" i="0" u="none" strike="noStrike" kern="1200" baseline="0">
                  <a:solidFill>
                    <a:schemeClr val="accent5">
                      <a:lumMod val="50000"/>
                    </a:schemeClr>
                  </a:solidFill>
                  <a:latin typeface="UTM Bebas" panose="02040603050506020204" pitchFamily="18" charset="0"/>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9"/>
        <c:spPr>
          <a:ln w="28575" cap="rnd">
            <a:solidFill>
              <a:srgbClr val="00B050"/>
            </a:solidFill>
            <a:prstDash val="dash"/>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lumMod val="50000"/>
                    </a:schemeClr>
                  </a:solidFill>
                  <a:latin typeface="UTM Bebas" panose="02040603050506020204" pitchFamily="18"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ln w="28575" cap="rnd">
            <a:solidFill>
              <a:schemeClr val="accent4"/>
            </a:solidFill>
            <a:prstDash val="dash"/>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lumMod val="50000"/>
                    </a:schemeClr>
                  </a:solidFill>
                  <a:latin typeface="UTM Bebas" panose="02040603050506020204" pitchFamily="18"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ln w="28575" cap="rnd">
            <a:solidFill>
              <a:srgbClr val="FF0000"/>
            </a:solidFill>
            <a:prstDash val="dash"/>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lumMod val="50000"/>
                    </a:schemeClr>
                  </a:solidFill>
                  <a:latin typeface="UTM Bebas" panose="02040603050506020204" pitchFamily="18"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75000"/>
            </a:schemeClr>
          </a:solidFill>
          <a:ln>
            <a:solidFill>
              <a:schemeClr val="accent6">
                <a:lumMod val="75000"/>
              </a:schemeClr>
            </a:solidFill>
          </a:ln>
          <a:effectLst/>
        </c:spPr>
        <c:dLbl>
          <c:idx val="0"/>
          <c:layout>
            <c:manualLayout>
              <c:x val="0"/>
              <c:y val="-5.5036846518702776E-2"/>
            </c:manualLayout>
          </c:layout>
          <c:spPr>
            <a:noFill/>
            <a:ln>
              <a:noFill/>
            </a:ln>
            <a:effectLst/>
          </c:spPr>
          <c:txPr>
            <a:bodyPr rot="0" spcFirstLastPara="1" vertOverflow="ellipsis" vert="horz" wrap="square" anchor="ctr" anchorCtr="1"/>
            <a:lstStyle/>
            <a:p>
              <a:pPr>
                <a:defRPr sz="1050" b="0" i="0" u="none" strike="noStrike" kern="1200" baseline="0">
                  <a:solidFill>
                    <a:schemeClr val="accent5">
                      <a:lumMod val="50000"/>
                    </a:schemeClr>
                  </a:solidFill>
                  <a:latin typeface="UTM Bebas" panose="02040603050506020204" pitchFamily="18" charset="0"/>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3"/>
        <c:spPr>
          <a:solidFill>
            <a:srgbClr val="00B0F0"/>
          </a:solidFill>
          <a:ln>
            <a:solidFill>
              <a:schemeClr val="accent6">
                <a:lumMod val="75000"/>
              </a:schemeClr>
            </a:solidFill>
          </a:ln>
          <a:effectLst/>
        </c:spPr>
      </c:pivotFmt>
      <c:pivotFmt>
        <c:idx val="14"/>
        <c:spPr>
          <a:solidFill>
            <a:srgbClr val="C00000"/>
          </a:solidFill>
          <a:ln>
            <a:solidFill>
              <a:schemeClr val="accent6">
                <a:lumMod val="75000"/>
              </a:schemeClr>
            </a:solidFill>
          </a:ln>
          <a:effectLst/>
        </c:spPr>
      </c:pivotFmt>
      <c:pivotFmt>
        <c:idx val="15"/>
        <c:spPr>
          <a:solidFill>
            <a:srgbClr val="0070C0"/>
          </a:solidFill>
          <a:ln>
            <a:solidFill>
              <a:schemeClr val="accent6">
                <a:lumMod val="75000"/>
              </a:schemeClr>
            </a:solidFill>
          </a:ln>
          <a:effectLst/>
        </c:spPr>
      </c:pivotFmt>
      <c:pivotFmt>
        <c:idx val="16"/>
        <c:spPr>
          <a:solidFill>
            <a:srgbClr val="92D050"/>
          </a:solidFill>
          <a:ln>
            <a:solidFill>
              <a:schemeClr val="accent6">
                <a:lumMod val="75000"/>
              </a:schemeClr>
            </a:solidFill>
          </a:ln>
          <a:effectLst/>
        </c:spPr>
      </c:pivotFmt>
      <c:pivotFmt>
        <c:idx val="17"/>
        <c:spPr>
          <a:solidFill>
            <a:srgbClr val="FFC000"/>
          </a:solidFill>
          <a:ln>
            <a:solidFill>
              <a:schemeClr val="accent6">
                <a:lumMod val="75000"/>
              </a:schemeClr>
            </a:solidFill>
          </a:ln>
          <a:effectLst/>
        </c:spPr>
      </c:pivotFmt>
    </c:pivotFmts>
    <c:plotArea>
      <c:layout/>
      <c:barChart>
        <c:barDir val="col"/>
        <c:grouping val="clustered"/>
        <c:varyColors val="0"/>
        <c:ser>
          <c:idx val="0"/>
          <c:order val="0"/>
          <c:tx>
            <c:strRef>
              <c:f>'CALCULATION- LTL'!$B$33</c:f>
              <c:strCache>
                <c:ptCount val="1"/>
                <c:pt idx="0">
                  <c:v>Average of KPI- LTL</c:v>
                </c:pt>
              </c:strCache>
            </c:strRef>
          </c:tx>
          <c:spPr>
            <a:solidFill>
              <a:schemeClr val="accent5">
                <a:tint val="58000"/>
              </a:schemeClr>
            </a:solidFill>
            <a:ln>
              <a:solidFill>
                <a:schemeClr val="accent6">
                  <a:lumMod val="75000"/>
                </a:schemeClr>
              </a:solidFill>
            </a:ln>
            <a:effectLst/>
          </c:spPr>
          <c:invertIfNegative val="0"/>
          <c:dPt>
            <c:idx val="0"/>
            <c:invertIfNegative val="0"/>
            <c:bubble3D val="0"/>
            <c:spPr>
              <a:solidFill>
                <a:srgbClr val="00B0F0"/>
              </a:solidFill>
              <a:ln>
                <a:solidFill>
                  <a:schemeClr val="accent6">
                    <a:lumMod val="75000"/>
                  </a:schemeClr>
                </a:solidFill>
              </a:ln>
              <a:effectLst/>
            </c:spPr>
            <c:extLst>
              <c:ext xmlns:c16="http://schemas.microsoft.com/office/drawing/2014/chart" uri="{C3380CC4-5D6E-409C-BE32-E72D297353CC}">
                <c16:uniqueId val="{00000001-0DBF-4121-BD77-E4665BEB6DAC}"/>
              </c:ext>
            </c:extLst>
          </c:dPt>
          <c:dPt>
            <c:idx val="1"/>
            <c:invertIfNegative val="0"/>
            <c:bubble3D val="0"/>
            <c:spPr>
              <a:solidFill>
                <a:schemeClr val="accent6">
                  <a:lumMod val="75000"/>
                </a:schemeClr>
              </a:solidFill>
              <a:ln>
                <a:solidFill>
                  <a:schemeClr val="accent6">
                    <a:lumMod val="75000"/>
                  </a:schemeClr>
                </a:solidFill>
              </a:ln>
              <a:effectLst/>
            </c:spPr>
            <c:extLst>
              <c:ext xmlns:c16="http://schemas.microsoft.com/office/drawing/2014/chart" uri="{C3380CC4-5D6E-409C-BE32-E72D297353CC}">
                <c16:uniqueId val="{00000000-0DBF-4121-BD77-E4665BEB6DAC}"/>
              </c:ext>
            </c:extLst>
          </c:dPt>
          <c:dPt>
            <c:idx val="2"/>
            <c:invertIfNegative val="0"/>
            <c:bubble3D val="0"/>
            <c:spPr>
              <a:solidFill>
                <a:srgbClr val="C00000"/>
              </a:solidFill>
              <a:ln>
                <a:solidFill>
                  <a:schemeClr val="accent6">
                    <a:lumMod val="75000"/>
                  </a:schemeClr>
                </a:solidFill>
              </a:ln>
              <a:effectLst/>
            </c:spPr>
            <c:extLst>
              <c:ext xmlns:c16="http://schemas.microsoft.com/office/drawing/2014/chart" uri="{C3380CC4-5D6E-409C-BE32-E72D297353CC}">
                <c16:uniqueId val="{00000002-0DBF-4121-BD77-E4665BEB6DAC}"/>
              </c:ext>
            </c:extLst>
          </c:dPt>
          <c:dPt>
            <c:idx val="3"/>
            <c:invertIfNegative val="0"/>
            <c:bubble3D val="0"/>
            <c:spPr>
              <a:solidFill>
                <a:srgbClr val="0070C0"/>
              </a:solidFill>
              <a:ln>
                <a:solidFill>
                  <a:schemeClr val="accent6">
                    <a:lumMod val="75000"/>
                  </a:schemeClr>
                </a:solidFill>
              </a:ln>
              <a:effectLst/>
            </c:spPr>
            <c:extLst>
              <c:ext xmlns:c16="http://schemas.microsoft.com/office/drawing/2014/chart" uri="{C3380CC4-5D6E-409C-BE32-E72D297353CC}">
                <c16:uniqueId val="{00000003-0DBF-4121-BD77-E4665BEB6DAC}"/>
              </c:ext>
            </c:extLst>
          </c:dPt>
          <c:dPt>
            <c:idx val="4"/>
            <c:invertIfNegative val="0"/>
            <c:bubble3D val="0"/>
            <c:spPr>
              <a:solidFill>
                <a:srgbClr val="92D050"/>
              </a:solidFill>
              <a:ln>
                <a:solidFill>
                  <a:schemeClr val="accent6">
                    <a:lumMod val="75000"/>
                  </a:schemeClr>
                </a:solidFill>
              </a:ln>
              <a:effectLst/>
            </c:spPr>
            <c:extLst>
              <c:ext xmlns:c16="http://schemas.microsoft.com/office/drawing/2014/chart" uri="{C3380CC4-5D6E-409C-BE32-E72D297353CC}">
                <c16:uniqueId val="{00000004-0DBF-4121-BD77-E4665BEB6DAC}"/>
              </c:ext>
            </c:extLst>
          </c:dPt>
          <c:dPt>
            <c:idx val="5"/>
            <c:invertIfNegative val="0"/>
            <c:bubble3D val="0"/>
            <c:spPr>
              <a:solidFill>
                <a:srgbClr val="FFC000"/>
              </a:solidFill>
              <a:ln>
                <a:solidFill>
                  <a:schemeClr val="accent6">
                    <a:lumMod val="75000"/>
                  </a:schemeClr>
                </a:solidFill>
              </a:ln>
              <a:effectLst/>
            </c:spPr>
            <c:extLst>
              <c:ext xmlns:c16="http://schemas.microsoft.com/office/drawing/2014/chart" uri="{C3380CC4-5D6E-409C-BE32-E72D297353CC}">
                <c16:uniqueId val="{00000005-0DBF-4121-BD77-E4665BEB6DAC}"/>
              </c:ext>
            </c:extLst>
          </c:dPt>
          <c:dLbls>
            <c:dLbl>
              <c:idx val="1"/>
              <c:layout>
                <c:manualLayout>
                  <c:x val="0"/>
                  <c:y val="-5.5036846518702776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0DBF-4121-BD77-E4665BEB6DAC}"/>
                </c:ext>
              </c:extLst>
            </c:dLbl>
            <c:spPr>
              <a:noFill/>
              <a:ln>
                <a:noFill/>
              </a:ln>
              <a:effectLst/>
            </c:spPr>
            <c:txPr>
              <a:bodyPr rot="0" spcFirstLastPara="1" vertOverflow="ellipsis" vert="horz" wrap="square" anchor="ctr" anchorCtr="1"/>
              <a:lstStyle/>
              <a:p>
                <a:pPr>
                  <a:defRPr sz="1050" b="0" i="0" u="none" strike="noStrike" kern="1200" baseline="0">
                    <a:solidFill>
                      <a:schemeClr val="accent5">
                        <a:lumMod val="50000"/>
                      </a:schemeClr>
                    </a:solidFill>
                    <a:latin typeface="UTM Bebas" panose="02040603050506020204" pitchFamily="18" charset="0"/>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'CALCULATION- LTL'!$A$34:$A$40</c:f>
              <c:strCache>
                <c:ptCount val="6"/>
                <c:pt idx="0">
                  <c:v>NANG DONG</c:v>
                </c:pt>
                <c:pt idx="1">
                  <c:v>NETCO</c:v>
                </c:pt>
                <c:pt idx="2">
                  <c:v>NHAT QUANG</c:v>
                </c:pt>
                <c:pt idx="3">
                  <c:v>NHAT TIN</c:v>
                </c:pt>
                <c:pt idx="4">
                  <c:v>NHUT LIEN</c:v>
                </c:pt>
                <c:pt idx="5">
                  <c:v>TASETCO</c:v>
                </c:pt>
              </c:strCache>
            </c:strRef>
          </c:cat>
          <c:val>
            <c:numRef>
              <c:f>'CALCULATION- LTL'!$B$34:$B$40</c:f>
              <c:numCache>
                <c:formatCode>0.00%</c:formatCode>
                <c:ptCount val="6"/>
                <c:pt idx="0">
                  <c:v>0.97785874009848006</c:v>
                </c:pt>
                <c:pt idx="1">
                  <c:v>0.92806363636363642</c:v>
                </c:pt>
                <c:pt idx="2">
                  <c:v>0.97599999999999998</c:v>
                </c:pt>
                <c:pt idx="3">
                  <c:v>0.94854545454545447</c:v>
                </c:pt>
                <c:pt idx="4">
                  <c:v>0.95599999999999996</c:v>
                </c:pt>
                <c:pt idx="5">
                  <c:v>0.9981456312095589</c:v>
                </c:pt>
              </c:numCache>
            </c:numRef>
          </c:val>
          <c:extLst>
            <c:ext xmlns:c16="http://schemas.microsoft.com/office/drawing/2014/chart" uri="{C3380CC4-5D6E-409C-BE32-E72D297353CC}">
              <c16:uniqueId val="{00000000-E708-4CAC-ACC4-2C888F63C81C}"/>
            </c:ext>
          </c:extLst>
        </c:ser>
        <c:dLbls>
          <c:showLegendKey val="0"/>
          <c:showVal val="0"/>
          <c:showCatName val="0"/>
          <c:showSerName val="0"/>
          <c:showPercent val="0"/>
          <c:showBubbleSize val="0"/>
        </c:dLbls>
        <c:gapWidth val="219"/>
        <c:overlap val="-27"/>
        <c:axId val="964271487"/>
        <c:axId val="964278687"/>
      </c:barChart>
      <c:lineChart>
        <c:grouping val="standard"/>
        <c:varyColors val="0"/>
        <c:ser>
          <c:idx val="1"/>
          <c:order val="1"/>
          <c:tx>
            <c:strRef>
              <c:f>'CALCULATION- LTL'!$C$33</c:f>
              <c:strCache>
                <c:ptCount val="1"/>
                <c:pt idx="0">
                  <c:v>Good</c:v>
                </c:pt>
              </c:strCache>
            </c:strRef>
          </c:tx>
          <c:spPr>
            <a:ln w="28575" cap="rnd">
              <a:solidFill>
                <a:srgbClr val="00B050"/>
              </a:solidFill>
              <a:prstDash val="dash"/>
              <a:round/>
            </a:ln>
            <a:effectLst/>
          </c:spPr>
          <c:marker>
            <c:symbol val="none"/>
          </c:marker>
          <c:cat>
            <c:strRef>
              <c:f>'CALCULATION- LTL'!$A$34:$A$40</c:f>
              <c:strCache>
                <c:ptCount val="6"/>
                <c:pt idx="0">
                  <c:v>NANG DONG</c:v>
                </c:pt>
                <c:pt idx="1">
                  <c:v>NETCO</c:v>
                </c:pt>
                <c:pt idx="2">
                  <c:v>NHAT QUANG</c:v>
                </c:pt>
                <c:pt idx="3">
                  <c:v>NHAT TIN</c:v>
                </c:pt>
                <c:pt idx="4">
                  <c:v>NHUT LIEN</c:v>
                </c:pt>
                <c:pt idx="5">
                  <c:v>TASETCO</c:v>
                </c:pt>
              </c:strCache>
            </c:strRef>
          </c:cat>
          <c:val>
            <c:numRef>
              <c:f>'CALCULATION- LTL'!$C$34:$C$40</c:f>
              <c:numCache>
                <c:formatCode>0.00%</c:formatCode>
                <c:ptCount val="6"/>
                <c:pt idx="0">
                  <c:v>0.95</c:v>
                </c:pt>
                <c:pt idx="1">
                  <c:v>0.95</c:v>
                </c:pt>
                <c:pt idx="2">
                  <c:v>0.95</c:v>
                </c:pt>
                <c:pt idx="3">
                  <c:v>0.95</c:v>
                </c:pt>
                <c:pt idx="4">
                  <c:v>0.95</c:v>
                </c:pt>
                <c:pt idx="5">
                  <c:v>0.95</c:v>
                </c:pt>
              </c:numCache>
            </c:numRef>
          </c:val>
          <c:smooth val="0"/>
          <c:extLst>
            <c:ext xmlns:c16="http://schemas.microsoft.com/office/drawing/2014/chart" uri="{C3380CC4-5D6E-409C-BE32-E72D297353CC}">
              <c16:uniqueId val="{00000001-E708-4CAC-ACC4-2C888F63C81C}"/>
            </c:ext>
          </c:extLst>
        </c:ser>
        <c:ser>
          <c:idx val="2"/>
          <c:order val="2"/>
          <c:tx>
            <c:strRef>
              <c:f>'CALCULATION- LTL'!$D$33</c:f>
              <c:strCache>
                <c:ptCount val="1"/>
                <c:pt idx="0">
                  <c:v>Good.</c:v>
                </c:pt>
              </c:strCache>
            </c:strRef>
          </c:tx>
          <c:spPr>
            <a:ln w="28575" cap="rnd">
              <a:solidFill>
                <a:schemeClr val="accent4"/>
              </a:solidFill>
              <a:prstDash val="dash"/>
              <a:round/>
            </a:ln>
            <a:effectLst/>
          </c:spPr>
          <c:marker>
            <c:symbol val="none"/>
          </c:marker>
          <c:cat>
            <c:strRef>
              <c:f>'CALCULATION- LTL'!$A$34:$A$40</c:f>
              <c:strCache>
                <c:ptCount val="6"/>
                <c:pt idx="0">
                  <c:v>NANG DONG</c:v>
                </c:pt>
                <c:pt idx="1">
                  <c:v>NETCO</c:v>
                </c:pt>
                <c:pt idx="2">
                  <c:v>NHAT QUANG</c:v>
                </c:pt>
                <c:pt idx="3">
                  <c:v>NHAT TIN</c:v>
                </c:pt>
                <c:pt idx="4">
                  <c:v>NHUT LIEN</c:v>
                </c:pt>
                <c:pt idx="5">
                  <c:v>TASETCO</c:v>
                </c:pt>
              </c:strCache>
            </c:strRef>
          </c:cat>
          <c:val>
            <c:numRef>
              <c:f>'CALCULATION- LTL'!$D$34:$D$40</c:f>
              <c:numCache>
                <c:formatCode>0.00%</c:formatCode>
                <c:ptCount val="6"/>
                <c:pt idx="0">
                  <c:v>0.9</c:v>
                </c:pt>
                <c:pt idx="1">
                  <c:v>0.9</c:v>
                </c:pt>
                <c:pt idx="2">
                  <c:v>0.9</c:v>
                </c:pt>
                <c:pt idx="3">
                  <c:v>0.9</c:v>
                </c:pt>
                <c:pt idx="4">
                  <c:v>0.9</c:v>
                </c:pt>
                <c:pt idx="5">
                  <c:v>0.9</c:v>
                </c:pt>
              </c:numCache>
            </c:numRef>
          </c:val>
          <c:smooth val="0"/>
          <c:extLst>
            <c:ext xmlns:c16="http://schemas.microsoft.com/office/drawing/2014/chart" uri="{C3380CC4-5D6E-409C-BE32-E72D297353CC}">
              <c16:uniqueId val="{00000002-E708-4CAC-ACC4-2C888F63C81C}"/>
            </c:ext>
          </c:extLst>
        </c:ser>
        <c:ser>
          <c:idx val="3"/>
          <c:order val="3"/>
          <c:tx>
            <c:strRef>
              <c:f>'CALCULATION- LTL'!$E$33</c:f>
              <c:strCache>
                <c:ptCount val="1"/>
                <c:pt idx="0">
                  <c:v>Need to improve</c:v>
                </c:pt>
              </c:strCache>
            </c:strRef>
          </c:tx>
          <c:spPr>
            <a:ln w="28575" cap="rnd">
              <a:solidFill>
                <a:srgbClr val="FF0000"/>
              </a:solidFill>
              <a:prstDash val="dash"/>
              <a:round/>
            </a:ln>
            <a:effectLst/>
          </c:spPr>
          <c:marker>
            <c:symbol val="none"/>
          </c:marker>
          <c:cat>
            <c:strRef>
              <c:f>'CALCULATION- LTL'!$A$34:$A$40</c:f>
              <c:strCache>
                <c:ptCount val="6"/>
                <c:pt idx="0">
                  <c:v>NANG DONG</c:v>
                </c:pt>
                <c:pt idx="1">
                  <c:v>NETCO</c:v>
                </c:pt>
                <c:pt idx="2">
                  <c:v>NHAT QUANG</c:v>
                </c:pt>
                <c:pt idx="3">
                  <c:v>NHAT TIN</c:v>
                </c:pt>
                <c:pt idx="4">
                  <c:v>NHUT LIEN</c:v>
                </c:pt>
                <c:pt idx="5">
                  <c:v>TASETCO</c:v>
                </c:pt>
              </c:strCache>
            </c:strRef>
          </c:cat>
          <c:val>
            <c:numRef>
              <c:f>'CALCULATION- LTL'!$E$34:$E$40</c:f>
              <c:numCache>
                <c:formatCode>0.00%</c:formatCode>
                <c:ptCount val="6"/>
                <c:pt idx="0">
                  <c:v>0.85</c:v>
                </c:pt>
                <c:pt idx="1">
                  <c:v>0.85</c:v>
                </c:pt>
                <c:pt idx="2">
                  <c:v>0.85</c:v>
                </c:pt>
                <c:pt idx="3">
                  <c:v>0.85</c:v>
                </c:pt>
                <c:pt idx="4">
                  <c:v>0.85</c:v>
                </c:pt>
                <c:pt idx="5">
                  <c:v>0.85</c:v>
                </c:pt>
              </c:numCache>
            </c:numRef>
          </c:val>
          <c:smooth val="0"/>
          <c:extLst>
            <c:ext xmlns:c16="http://schemas.microsoft.com/office/drawing/2014/chart" uri="{C3380CC4-5D6E-409C-BE32-E72D297353CC}">
              <c16:uniqueId val="{00000003-E708-4CAC-ACC4-2C888F63C81C}"/>
            </c:ext>
          </c:extLst>
        </c:ser>
        <c:dLbls>
          <c:showLegendKey val="0"/>
          <c:showVal val="0"/>
          <c:showCatName val="0"/>
          <c:showSerName val="0"/>
          <c:showPercent val="0"/>
          <c:showBubbleSize val="0"/>
        </c:dLbls>
        <c:marker val="1"/>
        <c:smooth val="0"/>
        <c:axId val="964271487"/>
        <c:axId val="964278687"/>
      </c:lineChart>
      <c:catAx>
        <c:axId val="96427148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50" b="0" i="0" u="none" strike="noStrike" kern="1200" baseline="0">
                <a:solidFill>
                  <a:schemeClr val="accent5">
                    <a:lumMod val="50000"/>
                  </a:schemeClr>
                </a:solidFill>
                <a:latin typeface="UTM Bebas" panose="02040603050506020204" pitchFamily="18" charset="0"/>
                <a:ea typeface="+mn-ea"/>
                <a:cs typeface="+mn-cs"/>
              </a:defRPr>
            </a:pPr>
            <a:endParaRPr lang="en-US"/>
          </a:p>
        </c:txPr>
        <c:crossAx val="964278687"/>
        <c:crosses val="autoZero"/>
        <c:auto val="1"/>
        <c:lblAlgn val="ctr"/>
        <c:lblOffset val="100"/>
        <c:noMultiLvlLbl val="0"/>
      </c:catAx>
      <c:valAx>
        <c:axId val="964278687"/>
        <c:scaling>
          <c:orientation val="minMax"/>
        </c:scaling>
        <c:delete val="1"/>
        <c:axPos val="l"/>
        <c:numFmt formatCode="0.00%" sourceLinked="1"/>
        <c:majorTickMark val="none"/>
        <c:minorTickMark val="none"/>
        <c:tickLblPos val="nextTo"/>
        <c:crossAx val="964271487"/>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accent6">
        <a:lumMod val="20000"/>
        <a:lumOff val="80000"/>
      </a:schemeClr>
    </a:solidFill>
    <a:ln w="25400" cap="flat" cmpd="sng" algn="ctr">
      <a:solidFill>
        <a:schemeClr val="accent6">
          <a:lumMod val="75000"/>
        </a:schemeClr>
      </a:solidFill>
      <a:prstDash val="lgDash"/>
      <a:round/>
    </a:ln>
    <a:effectLst/>
  </c:spPr>
  <c:txPr>
    <a:bodyPr/>
    <a:lstStyle/>
    <a:p>
      <a:pPr>
        <a:defRPr>
          <a:solidFill>
            <a:schemeClr val="accent5">
              <a:lumMod val="50000"/>
            </a:schemeClr>
          </a:solidFill>
          <a:latin typeface="UTM Bebas" panose="02040603050506020204" pitchFamily="18" charset="0"/>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7"/>
    </mc:Choice>
    <mc:Fallback>
      <c:style val="7"/>
    </mc:Fallback>
  </mc:AlternateContent>
  <c:pivotSource>
    <c:name>[Dashboard - DAV Transportation Cost.xlsm]CALCULATION- LTL!RATIO - LTL</c:name>
    <c:fmtId val="4"/>
  </c:pivotSource>
  <c:chart>
    <c:title>
      <c:tx>
        <c:rich>
          <a:bodyPr rot="0" spcFirstLastPara="1" vertOverflow="ellipsis" vert="horz" wrap="square" anchor="ctr" anchorCtr="1"/>
          <a:lstStyle/>
          <a:p>
            <a:pPr>
              <a:defRPr sz="1600" b="0" i="0" u="none" strike="noStrike" kern="1200" spc="0" baseline="0">
                <a:solidFill>
                  <a:schemeClr val="tx1">
                    <a:lumMod val="65000"/>
                    <a:lumOff val="35000"/>
                  </a:schemeClr>
                </a:solidFill>
                <a:latin typeface="UTM Bebas" panose="02040603050506020204" pitchFamily="18" charset="0"/>
                <a:ea typeface="+mn-ea"/>
                <a:cs typeface="+mn-cs"/>
              </a:defRPr>
            </a:pPr>
            <a:r>
              <a:rPr lang="en-US" sz="1600" b="0" i="0">
                <a:solidFill>
                  <a:schemeClr val="accent1">
                    <a:lumMod val="75000"/>
                  </a:schemeClr>
                </a:solidFill>
                <a:latin typeface="UTM Bebas" panose="02040603050506020204" pitchFamily="18" charset="0"/>
              </a:rPr>
              <a:t>RATIO</a:t>
            </a:r>
            <a:r>
              <a:rPr lang="en-US" sz="1600" b="0" i="0" baseline="0">
                <a:solidFill>
                  <a:schemeClr val="accent1">
                    <a:lumMod val="75000"/>
                  </a:schemeClr>
                </a:solidFill>
                <a:latin typeface="UTM Bebas" panose="02040603050506020204" pitchFamily="18" charset="0"/>
              </a:rPr>
              <a:t> USING</a:t>
            </a:r>
            <a:endParaRPr lang="en-US" sz="1600" b="0" i="0">
              <a:solidFill>
                <a:schemeClr val="accent1">
                  <a:lumMod val="75000"/>
                </a:schemeClr>
              </a:solidFill>
              <a:latin typeface="UTM Bebas" panose="02040603050506020204" pitchFamily="18" charset="0"/>
            </a:endParaRPr>
          </a:p>
        </c:rich>
      </c:tx>
      <c:overlay val="0"/>
      <c:spPr>
        <a:noFill/>
        <a:ln>
          <a:noFill/>
        </a:ln>
        <a:effectLst/>
      </c:spPr>
      <c:txPr>
        <a:bodyPr rot="0" spcFirstLastPara="1" vertOverflow="ellipsis" vert="horz" wrap="square" anchor="ctr" anchorCtr="1"/>
        <a:lstStyle/>
        <a:p>
          <a:pPr>
            <a:defRPr sz="1600" b="0" i="0" u="none" strike="noStrike" kern="1200" spc="0" baseline="0">
              <a:solidFill>
                <a:schemeClr val="tx1">
                  <a:lumMod val="65000"/>
                  <a:lumOff val="35000"/>
                </a:schemeClr>
              </a:solidFill>
              <a:latin typeface="UTM Bebas" panose="02040603050506020204" pitchFamily="18" charset="0"/>
              <a:ea typeface="+mn-ea"/>
              <a:cs typeface="+mn-cs"/>
            </a:defRPr>
          </a:pPr>
          <a:endParaRPr lang="en-US"/>
        </a:p>
      </c:txPr>
    </c:title>
    <c:autoTitleDeleted val="0"/>
    <c:pivotFmts>
      <c:pivotFmt>
        <c:idx val="0"/>
        <c:spPr>
          <a:solidFill>
            <a:schemeClr val="accent5"/>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5"/>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5"/>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5"/>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5"/>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5"/>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5"/>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5"/>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5"/>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5"/>
          </a:solidFill>
          <a:ln w="19050">
            <a:solidFill>
              <a:schemeClr val="lt1"/>
            </a:solidFill>
          </a:ln>
          <a:effectLst/>
        </c:spPr>
      </c:pivotFmt>
      <c:pivotFmt>
        <c:idx val="10"/>
        <c:spPr>
          <a:solidFill>
            <a:schemeClr val="accent5"/>
          </a:solidFill>
          <a:ln w="19050">
            <a:solidFill>
              <a:schemeClr val="lt1"/>
            </a:solidFill>
          </a:ln>
          <a:effectLst/>
        </c:spPr>
      </c:pivotFmt>
      <c:pivotFmt>
        <c:idx val="11"/>
        <c:spPr>
          <a:solidFill>
            <a:schemeClr val="accent5"/>
          </a:solidFill>
          <a:ln w="19050">
            <a:solidFill>
              <a:schemeClr val="lt1"/>
            </a:solidFill>
          </a:ln>
          <a:effectLst/>
        </c:spPr>
      </c:pivotFmt>
      <c:pivotFmt>
        <c:idx val="12"/>
        <c:spPr>
          <a:solidFill>
            <a:schemeClr val="accent5"/>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5"/>
          </a:solidFill>
          <a:ln w="19050">
            <a:solidFill>
              <a:schemeClr val="lt1"/>
            </a:solidFill>
          </a:ln>
          <a:effectLst/>
        </c:spPr>
      </c:pivotFmt>
      <c:pivotFmt>
        <c:idx val="14"/>
        <c:spPr>
          <a:solidFill>
            <a:schemeClr val="accent5"/>
          </a:solidFill>
          <a:ln w="19050">
            <a:solidFill>
              <a:schemeClr val="lt1"/>
            </a:solidFill>
          </a:ln>
          <a:effectLst/>
        </c:spPr>
      </c:pivotFmt>
      <c:pivotFmt>
        <c:idx val="15"/>
        <c:spPr>
          <a:solidFill>
            <a:schemeClr val="accent5"/>
          </a:solidFill>
          <a:ln w="19050">
            <a:solidFill>
              <a:schemeClr val="lt1"/>
            </a:solidFill>
          </a:ln>
          <a:effectLst/>
        </c:spPr>
      </c:pivotFmt>
      <c:pivotFmt>
        <c:idx val="16"/>
        <c:spPr>
          <a:solidFill>
            <a:schemeClr val="accent5"/>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5"/>
          </a:solidFill>
          <a:ln w="19050">
            <a:solidFill>
              <a:schemeClr val="lt1"/>
            </a:solidFill>
          </a:ln>
          <a:effectLst/>
        </c:spPr>
      </c:pivotFmt>
      <c:pivotFmt>
        <c:idx val="18"/>
        <c:spPr>
          <a:solidFill>
            <a:schemeClr val="accent5"/>
          </a:solidFill>
          <a:ln w="19050">
            <a:solidFill>
              <a:schemeClr val="lt1"/>
            </a:solidFill>
          </a:ln>
          <a:effectLst/>
        </c:spPr>
      </c:pivotFmt>
      <c:pivotFmt>
        <c:idx val="19"/>
        <c:spPr>
          <a:solidFill>
            <a:schemeClr val="accent5"/>
          </a:solidFill>
          <a:ln w="19050">
            <a:solidFill>
              <a:schemeClr val="lt1"/>
            </a:solidFill>
          </a:ln>
          <a:effectLst/>
        </c:spPr>
      </c:pivotFmt>
      <c:pivotFmt>
        <c:idx val="20"/>
        <c:spPr>
          <a:solidFill>
            <a:schemeClr val="accent5"/>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5"/>
          </a:solidFill>
          <a:ln w="19050">
            <a:solidFill>
              <a:schemeClr val="lt1"/>
            </a:solidFill>
          </a:ln>
          <a:effectLst/>
        </c:spPr>
      </c:pivotFmt>
      <c:pivotFmt>
        <c:idx val="22"/>
        <c:spPr>
          <a:solidFill>
            <a:schemeClr val="accent5"/>
          </a:solidFill>
          <a:ln w="19050">
            <a:solidFill>
              <a:schemeClr val="lt1"/>
            </a:solidFill>
          </a:ln>
          <a:effectLst/>
        </c:spPr>
      </c:pivotFmt>
      <c:pivotFmt>
        <c:idx val="23"/>
        <c:spPr>
          <a:solidFill>
            <a:schemeClr val="accent5"/>
          </a:solidFill>
          <a:ln w="19050">
            <a:solidFill>
              <a:schemeClr val="lt1"/>
            </a:solidFill>
          </a:ln>
          <a:effectLst/>
        </c:spPr>
      </c:pivotFmt>
      <c:pivotFmt>
        <c:idx val="24"/>
        <c:spPr>
          <a:solidFill>
            <a:schemeClr val="accent5"/>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5"/>
          </a:solidFill>
          <a:ln w="19050">
            <a:solidFill>
              <a:schemeClr val="lt1"/>
            </a:solidFill>
          </a:ln>
          <a:effectLst/>
        </c:spPr>
      </c:pivotFmt>
      <c:pivotFmt>
        <c:idx val="26"/>
        <c:spPr>
          <a:solidFill>
            <a:schemeClr val="accent5"/>
          </a:solidFill>
          <a:ln w="19050">
            <a:solidFill>
              <a:schemeClr val="lt1"/>
            </a:solidFill>
          </a:ln>
          <a:effectLst/>
        </c:spPr>
      </c:pivotFmt>
      <c:pivotFmt>
        <c:idx val="27"/>
        <c:spPr>
          <a:solidFill>
            <a:schemeClr val="accent5"/>
          </a:solidFill>
          <a:ln w="19050">
            <a:solidFill>
              <a:schemeClr val="lt1"/>
            </a:solidFill>
          </a:ln>
          <a:effectLst/>
        </c:spPr>
      </c:pivotFmt>
      <c:pivotFmt>
        <c:idx val="28"/>
        <c:spPr>
          <a:solidFill>
            <a:schemeClr val="accent5"/>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5"/>
          </a:solidFill>
          <a:ln w="19050">
            <a:solidFill>
              <a:schemeClr val="lt1"/>
            </a:solidFill>
          </a:ln>
          <a:effectLst/>
        </c:spPr>
      </c:pivotFmt>
      <c:pivotFmt>
        <c:idx val="30"/>
        <c:spPr>
          <a:solidFill>
            <a:schemeClr val="accent5"/>
          </a:solidFill>
          <a:ln w="19050">
            <a:solidFill>
              <a:schemeClr val="lt1"/>
            </a:solidFill>
          </a:ln>
          <a:effectLst/>
        </c:spPr>
      </c:pivotFmt>
      <c:pivotFmt>
        <c:idx val="31"/>
        <c:spPr>
          <a:solidFill>
            <a:schemeClr val="accent5"/>
          </a:solidFill>
          <a:ln w="19050">
            <a:solidFill>
              <a:schemeClr val="lt1"/>
            </a:solidFill>
          </a:ln>
          <a:effectLst/>
        </c:spPr>
      </c:pivotFmt>
      <c:pivotFmt>
        <c:idx val="32"/>
        <c:spPr>
          <a:solidFill>
            <a:schemeClr val="accent5"/>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3"/>
        <c:spPr>
          <a:solidFill>
            <a:schemeClr val="accent5"/>
          </a:solidFill>
          <a:ln w="19050">
            <a:solidFill>
              <a:schemeClr val="lt1"/>
            </a:solidFill>
          </a:ln>
          <a:effectLst/>
        </c:spPr>
      </c:pivotFmt>
      <c:pivotFmt>
        <c:idx val="34"/>
        <c:spPr>
          <a:solidFill>
            <a:schemeClr val="accent5"/>
          </a:solidFill>
          <a:ln w="19050">
            <a:solidFill>
              <a:schemeClr val="lt1"/>
            </a:solidFill>
          </a:ln>
          <a:effectLst/>
        </c:spPr>
      </c:pivotFmt>
      <c:pivotFmt>
        <c:idx val="35"/>
        <c:spPr>
          <a:solidFill>
            <a:schemeClr val="accent5"/>
          </a:solidFill>
          <a:ln w="19050">
            <a:solidFill>
              <a:schemeClr val="lt1"/>
            </a:solidFill>
          </a:ln>
          <a:effectLst/>
        </c:spPr>
      </c:pivotFmt>
      <c:pivotFmt>
        <c:idx val="36"/>
        <c:spPr>
          <a:solidFill>
            <a:schemeClr val="accent5"/>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7"/>
        <c:spPr>
          <a:solidFill>
            <a:schemeClr val="accent5"/>
          </a:solidFill>
          <a:ln w="19050">
            <a:solidFill>
              <a:schemeClr val="lt1"/>
            </a:solidFill>
          </a:ln>
          <a:effectLst/>
        </c:spPr>
      </c:pivotFmt>
      <c:pivotFmt>
        <c:idx val="38"/>
        <c:spPr>
          <a:solidFill>
            <a:schemeClr val="accent5"/>
          </a:solidFill>
          <a:ln w="19050">
            <a:solidFill>
              <a:schemeClr val="lt1"/>
            </a:solidFill>
          </a:ln>
          <a:effectLst/>
        </c:spPr>
      </c:pivotFmt>
      <c:pivotFmt>
        <c:idx val="39"/>
        <c:spPr>
          <a:solidFill>
            <a:schemeClr val="accent5"/>
          </a:solidFill>
          <a:ln w="19050">
            <a:solidFill>
              <a:schemeClr val="lt1"/>
            </a:solidFill>
          </a:ln>
          <a:effectLst/>
        </c:spPr>
      </c:pivotFmt>
      <c:pivotFmt>
        <c:idx val="40"/>
        <c:spPr>
          <a:solidFill>
            <a:schemeClr val="accent5"/>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1"/>
        <c:spPr>
          <a:solidFill>
            <a:schemeClr val="accent5"/>
          </a:solidFill>
          <a:ln w="19050">
            <a:solidFill>
              <a:schemeClr val="lt1"/>
            </a:solidFill>
          </a:ln>
          <a:effectLst/>
        </c:spPr>
      </c:pivotFmt>
      <c:pivotFmt>
        <c:idx val="42"/>
        <c:spPr>
          <a:solidFill>
            <a:schemeClr val="accent5"/>
          </a:solidFill>
          <a:ln w="19050">
            <a:solidFill>
              <a:schemeClr val="lt1"/>
            </a:solidFill>
          </a:ln>
          <a:effectLst/>
        </c:spPr>
      </c:pivotFmt>
      <c:pivotFmt>
        <c:idx val="43"/>
        <c:spPr>
          <a:solidFill>
            <a:schemeClr val="accent5"/>
          </a:solidFill>
          <a:ln w="19050">
            <a:solidFill>
              <a:schemeClr val="lt1"/>
            </a:solidFill>
          </a:ln>
          <a:effectLst/>
        </c:spPr>
      </c:pivotFmt>
      <c:pivotFmt>
        <c:idx val="44"/>
        <c:spPr>
          <a:solidFill>
            <a:schemeClr val="accent5"/>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5"/>
        <c:spPr>
          <a:solidFill>
            <a:schemeClr val="accent5"/>
          </a:solidFill>
          <a:ln w="19050">
            <a:solidFill>
              <a:schemeClr val="lt1"/>
            </a:solidFill>
          </a:ln>
          <a:effectLst/>
        </c:spPr>
      </c:pivotFmt>
      <c:pivotFmt>
        <c:idx val="46"/>
        <c:spPr>
          <a:solidFill>
            <a:schemeClr val="accent5"/>
          </a:solidFill>
          <a:ln w="19050">
            <a:solidFill>
              <a:schemeClr val="lt1"/>
            </a:solidFill>
          </a:ln>
          <a:effectLst/>
        </c:spPr>
      </c:pivotFmt>
      <c:pivotFmt>
        <c:idx val="47"/>
        <c:spPr>
          <a:solidFill>
            <a:schemeClr val="accent5"/>
          </a:solidFill>
          <a:ln w="19050">
            <a:solidFill>
              <a:schemeClr val="lt1"/>
            </a:solidFill>
          </a:ln>
          <a:effectLst/>
        </c:spPr>
      </c:pivotFmt>
      <c:pivotFmt>
        <c:idx val="48"/>
        <c:spPr>
          <a:solidFill>
            <a:schemeClr val="accent5"/>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9"/>
        <c:spPr>
          <a:solidFill>
            <a:schemeClr val="accent5"/>
          </a:solidFill>
          <a:ln w="19050">
            <a:solidFill>
              <a:schemeClr val="lt1"/>
            </a:solidFill>
          </a:ln>
          <a:effectLst/>
        </c:spPr>
      </c:pivotFmt>
      <c:pivotFmt>
        <c:idx val="50"/>
        <c:spPr>
          <a:solidFill>
            <a:schemeClr val="accent5"/>
          </a:solidFill>
          <a:ln w="19050">
            <a:solidFill>
              <a:schemeClr val="lt1"/>
            </a:solidFill>
          </a:ln>
          <a:effectLst/>
        </c:spPr>
      </c:pivotFmt>
      <c:pivotFmt>
        <c:idx val="51"/>
        <c:spPr>
          <a:solidFill>
            <a:schemeClr val="accent5"/>
          </a:solidFill>
          <a:ln w="19050">
            <a:solidFill>
              <a:schemeClr val="lt1"/>
            </a:solidFill>
          </a:ln>
          <a:effectLst/>
        </c:spPr>
      </c:pivotFmt>
      <c:pivotFmt>
        <c:idx val="52"/>
        <c:spPr>
          <a:solidFill>
            <a:schemeClr val="accent5"/>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3"/>
        <c:spPr>
          <a:solidFill>
            <a:schemeClr val="accent5"/>
          </a:solidFill>
          <a:ln w="19050">
            <a:solidFill>
              <a:schemeClr val="lt1"/>
            </a:solidFill>
          </a:ln>
          <a:effectLst/>
        </c:spPr>
      </c:pivotFmt>
      <c:pivotFmt>
        <c:idx val="54"/>
        <c:spPr>
          <a:solidFill>
            <a:schemeClr val="accent5"/>
          </a:solidFill>
          <a:ln w="19050">
            <a:solidFill>
              <a:schemeClr val="lt1"/>
            </a:solidFill>
          </a:ln>
          <a:effectLst/>
        </c:spPr>
      </c:pivotFmt>
      <c:pivotFmt>
        <c:idx val="55"/>
        <c:spPr>
          <a:solidFill>
            <a:schemeClr val="accent5"/>
          </a:solidFill>
          <a:ln w="19050">
            <a:solidFill>
              <a:schemeClr val="lt1"/>
            </a:solidFill>
          </a:ln>
          <a:effectLst/>
        </c:spPr>
      </c:pivotFmt>
      <c:pivotFmt>
        <c:idx val="56"/>
        <c:spPr>
          <a:solidFill>
            <a:schemeClr val="accent5"/>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7"/>
        <c:spPr>
          <a:solidFill>
            <a:schemeClr val="accent5"/>
          </a:solidFill>
          <a:ln w="19050">
            <a:solidFill>
              <a:schemeClr val="lt1"/>
            </a:solidFill>
          </a:ln>
          <a:effectLst/>
        </c:spPr>
      </c:pivotFmt>
      <c:pivotFmt>
        <c:idx val="58"/>
        <c:spPr>
          <a:solidFill>
            <a:schemeClr val="accent5"/>
          </a:solidFill>
          <a:ln w="19050">
            <a:solidFill>
              <a:schemeClr val="lt1"/>
            </a:solidFill>
          </a:ln>
          <a:effectLst/>
        </c:spPr>
      </c:pivotFmt>
      <c:pivotFmt>
        <c:idx val="59"/>
        <c:spPr>
          <a:solidFill>
            <a:schemeClr val="accent5"/>
          </a:solidFill>
          <a:ln w="19050">
            <a:solidFill>
              <a:schemeClr val="lt1"/>
            </a:solidFill>
          </a:ln>
          <a:effectLst/>
        </c:spPr>
      </c:pivotFmt>
      <c:pivotFmt>
        <c:idx val="60"/>
        <c:spPr>
          <a:solidFill>
            <a:schemeClr val="accent5"/>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1"/>
        <c:spPr>
          <a:solidFill>
            <a:schemeClr val="accent5"/>
          </a:solidFill>
          <a:ln w="19050">
            <a:solidFill>
              <a:schemeClr val="lt1"/>
            </a:solidFill>
          </a:ln>
          <a:effectLst/>
        </c:spPr>
      </c:pivotFmt>
      <c:pivotFmt>
        <c:idx val="62"/>
        <c:spPr>
          <a:solidFill>
            <a:schemeClr val="accent5"/>
          </a:solidFill>
          <a:ln w="19050">
            <a:solidFill>
              <a:schemeClr val="lt1"/>
            </a:solidFill>
          </a:ln>
          <a:effectLst/>
        </c:spPr>
      </c:pivotFmt>
      <c:pivotFmt>
        <c:idx val="63"/>
        <c:spPr>
          <a:solidFill>
            <a:schemeClr val="accent5"/>
          </a:solidFill>
          <a:ln w="19050">
            <a:solidFill>
              <a:schemeClr val="lt1"/>
            </a:solidFill>
          </a:ln>
          <a:effectLst/>
        </c:spPr>
      </c:pivotFmt>
      <c:pivotFmt>
        <c:idx val="64"/>
        <c:spPr>
          <a:solidFill>
            <a:schemeClr val="accent5"/>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5"/>
        <c:spPr>
          <a:solidFill>
            <a:schemeClr val="accent5"/>
          </a:solidFill>
          <a:ln w="19050">
            <a:solidFill>
              <a:schemeClr val="lt1"/>
            </a:solidFill>
          </a:ln>
          <a:effectLst/>
        </c:spPr>
      </c:pivotFmt>
      <c:pivotFmt>
        <c:idx val="66"/>
        <c:spPr>
          <a:solidFill>
            <a:schemeClr val="accent5"/>
          </a:solidFill>
          <a:ln w="19050">
            <a:solidFill>
              <a:schemeClr val="lt1"/>
            </a:solidFill>
          </a:ln>
          <a:effectLst/>
        </c:spPr>
      </c:pivotFmt>
      <c:pivotFmt>
        <c:idx val="67"/>
        <c:spPr>
          <a:solidFill>
            <a:schemeClr val="accent5"/>
          </a:solidFill>
          <a:ln w="19050">
            <a:solidFill>
              <a:schemeClr val="lt1"/>
            </a:solidFill>
          </a:ln>
          <a:effectLst/>
        </c:spPr>
      </c:pivotFmt>
      <c:pivotFmt>
        <c:idx val="68"/>
        <c:spPr>
          <a:solidFill>
            <a:schemeClr val="accent5"/>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9"/>
        <c:spPr>
          <a:solidFill>
            <a:schemeClr val="accent5"/>
          </a:solidFill>
          <a:ln w="19050">
            <a:solidFill>
              <a:schemeClr val="lt1"/>
            </a:solidFill>
          </a:ln>
          <a:effectLst/>
        </c:spPr>
      </c:pivotFmt>
      <c:pivotFmt>
        <c:idx val="70"/>
        <c:spPr>
          <a:solidFill>
            <a:schemeClr val="accent5"/>
          </a:solidFill>
          <a:ln w="19050">
            <a:solidFill>
              <a:schemeClr val="lt1"/>
            </a:solidFill>
          </a:ln>
          <a:effectLst/>
        </c:spPr>
      </c:pivotFmt>
      <c:pivotFmt>
        <c:idx val="71"/>
        <c:spPr>
          <a:solidFill>
            <a:schemeClr val="accent5"/>
          </a:solidFill>
          <a:ln w="19050">
            <a:solidFill>
              <a:schemeClr val="lt1"/>
            </a:solidFill>
          </a:ln>
          <a:effectLst/>
        </c:spPr>
      </c:pivotFmt>
      <c:pivotFmt>
        <c:idx val="72"/>
        <c:spPr>
          <a:solidFill>
            <a:srgbClr val="FFC000"/>
          </a:solidFill>
          <a:ln w="9525">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accent5">
                      <a:lumMod val="50000"/>
                    </a:schemeClr>
                  </a:solidFill>
                  <a:latin typeface="+mn-lt"/>
                  <a:ea typeface="+mn-ea"/>
                  <a:cs typeface="+mn-cs"/>
                </a:defRPr>
              </a:pPr>
              <a:endParaRPr lang="en-US"/>
            </a:p>
          </c:txPr>
          <c:showLegendKey val="0"/>
          <c:showVal val="1"/>
          <c:showCatName val="1"/>
          <c:showSerName val="0"/>
          <c:showPercent val="0"/>
          <c:showBubbleSize val="0"/>
          <c:separator> </c:separator>
          <c:extLst>
            <c:ext xmlns:c15="http://schemas.microsoft.com/office/drawing/2012/chart" uri="{CE6537A1-D6FC-4f65-9D91-7224C49458BB}"/>
          </c:extLst>
        </c:dLbl>
      </c:pivotFmt>
      <c:pivotFmt>
        <c:idx val="73"/>
        <c:spPr>
          <a:solidFill>
            <a:srgbClr val="00B0F0"/>
          </a:solidFill>
          <a:ln w="9525">
            <a:solidFill>
              <a:schemeClr val="accent6">
                <a:lumMod val="75000"/>
              </a:schemeClr>
            </a:solidFill>
          </a:ln>
          <a:effectLst/>
        </c:spPr>
        <c:dLbl>
          <c:idx val="0"/>
          <c:layout>
            <c:manualLayout>
              <c:x val="2.1334455082030735E-2"/>
              <c:y val="-2.0447499612775265E-3"/>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accent5">
                      <a:lumMod val="50000"/>
                    </a:schemeClr>
                  </a:solidFill>
                  <a:latin typeface="+mn-lt"/>
                  <a:ea typeface="+mn-ea"/>
                  <a:cs typeface="+mn-cs"/>
                </a:defRPr>
              </a:pPr>
              <a:endParaRPr lang="en-US"/>
            </a:p>
          </c:txPr>
          <c:showLegendKey val="0"/>
          <c:showVal val="1"/>
          <c:showCatName val="1"/>
          <c:showSerName val="0"/>
          <c:showPercent val="0"/>
          <c:showBubbleSize val="0"/>
          <c:separator> </c:separator>
          <c:extLst>
            <c:ext xmlns:c15="http://schemas.microsoft.com/office/drawing/2012/chart" uri="{CE6537A1-D6FC-4f65-9D91-7224C49458BB}"/>
          </c:extLst>
        </c:dLbl>
      </c:pivotFmt>
      <c:pivotFmt>
        <c:idx val="74"/>
        <c:spPr>
          <a:solidFill>
            <a:schemeClr val="accent6">
              <a:lumMod val="75000"/>
            </a:schemeClr>
          </a:solidFill>
          <a:ln w="9525">
            <a:solidFill>
              <a:schemeClr val="accent6">
                <a:lumMod val="75000"/>
              </a:schemeClr>
            </a:solidFill>
          </a:ln>
          <a:effectLst/>
        </c:spPr>
        <c:dLbl>
          <c:idx val="0"/>
          <c:layout>
            <c:manualLayout>
              <c:x val="3.3684114982038139E-2"/>
              <c:y val="-4.9190929078391572E-2"/>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accent5">
                      <a:lumMod val="50000"/>
                    </a:schemeClr>
                  </a:solidFill>
                  <a:latin typeface="+mn-lt"/>
                  <a:ea typeface="+mn-ea"/>
                  <a:cs typeface="+mn-cs"/>
                </a:defRPr>
              </a:pPr>
              <a:endParaRPr lang="en-US"/>
            </a:p>
          </c:txPr>
          <c:showLegendKey val="0"/>
          <c:showVal val="1"/>
          <c:showCatName val="1"/>
          <c:showSerName val="0"/>
          <c:showPercent val="0"/>
          <c:showBubbleSize val="0"/>
          <c:separator> </c:separator>
          <c:extLst>
            <c:ext xmlns:c15="http://schemas.microsoft.com/office/drawing/2012/chart" uri="{CE6537A1-D6FC-4f65-9D91-7224C49458BB}"/>
          </c:extLst>
        </c:dLbl>
      </c:pivotFmt>
      <c:pivotFmt>
        <c:idx val="75"/>
        <c:spPr>
          <a:solidFill>
            <a:srgbClr val="C00000"/>
          </a:solidFill>
          <a:ln w="9525">
            <a:solidFill>
              <a:schemeClr val="accent6">
                <a:lumMod val="75000"/>
              </a:schemeClr>
            </a:solidFill>
          </a:ln>
          <a:effectLst/>
        </c:spPr>
        <c:dLbl>
          <c:idx val="0"/>
          <c:layout>
            <c:manualLayout>
              <c:x val="7.877742104457254E-2"/>
              <c:y val="4.2247998039642999E-2"/>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accent5">
                      <a:lumMod val="50000"/>
                    </a:schemeClr>
                  </a:solidFill>
                  <a:latin typeface="+mn-lt"/>
                  <a:ea typeface="+mn-ea"/>
                  <a:cs typeface="+mn-cs"/>
                </a:defRPr>
              </a:pPr>
              <a:endParaRPr lang="en-US"/>
            </a:p>
          </c:txPr>
          <c:showLegendKey val="0"/>
          <c:showVal val="1"/>
          <c:showCatName val="1"/>
          <c:showSerName val="0"/>
          <c:showPercent val="0"/>
          <c:showBubbleSize val="0"/>
          <c:separator> </c:separator>
          <c:extLst>
            <c:ext xmlns:c15="http://schemas.microsoft.com/office/drawing/2012/chart" uri="{CE6537A1-D6FC-4f65-9D91-7224C49458BB}"/>
          </c:extLst>
        </c:dLbl>
      </c:pivotFmt>
      <c:pivotFmt>
        <c:idx val="76"/>
        <c:spPr>
          <a:solidFill>
            <a:srgbClr val="0070C0"/>
          </a:solidFill>
          <a:ln w="9525">
            <a:solidFill>
              <a:schemeClr val="accent6">
                <a:lumMod val="75000"/>
              </a:schemeClr>
            </a:solidFill>
          </a:ln>
          <a:effectLst/>
        </c:spPr>
        <c:dLbl>
          <c:idx val="0"/>
          <c:layout>
            <c:manualLayout>
              <c:x val="4.7651182937012426E-2"/>
              <c:y val="-3.986296480949067E-2"/>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accent5">
                      <a:lumMod val="50000"/>
                    </a:schemeClr>
                  </a:solidFill>
                  <a:latin typeface="+mn-lt"/>
                  <a:ea typeface="+mn-ea"/>
                  <a:cs typeface="+mn-cs"/>
                </a:defRPr>
              </a:pPr>
              <a:endParaRPr lang="en-US"/>
            </a:p>
          </c:txPr>
          <c:showLegendKey val="0"/>
          <c:showVal val="1"/>
          <c:showCatName val="1"/>
          <c:showSerName val="0"/>
          <c:showPercent val="0"/>
          <c:showBubbleSize val="0"/>
          <c:separator> </c:separator>
          <c:extLst>
            <c:ext xmlns:c15="http://schemas.microsoft.com/office/drawing/2012/chart" uri="{CE6537A1-D6FC-4f65-9D91-7224C49458BB}"/>
          </c:extLst>
        </c:dLbl>
      </c:pivotFmt>
      <c:pivotFmt>
        <c:idx val="77"/>
        <c:spPr>
          <a:solidFill>
            <a:schemeClr val="accent4">
              <a:lumMod val="50000"/>
            </a:schemeClr>
          </a:solidFill>
          <a:ln w="9525">
            <a:solidFill>
              <a:schemeClr val="accent6">
                <a:lumMod val="75000"/>
              </a:schemeClr>
            </a:solidFill>
          </a:ln>
          <a:effectLst/>
        </c:spPr>
        <c:dLbl>
          <c:idx val="0"/>
          <c:layout>
            <c:manualLayout>
              <c:x val="-0.20935671131859568"/>
              <c:y val="7.3835368649810698E-3"/>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accent5">
                      <a:lumMod val="50000"/>
                    </a:schemeClr>
                  </a:solidFill>
                  <a:latin typeface="+mn-lt"/>
                  <a:ea typeface="+mn-ea"/>
                  <a:cs typeface="+mn-cs"/>
                </a:defRPr>
              </a:pPr>
              <a:endParaRPr lang="en-US"/>
            </a:p>
          </c:txPr>
          <c:showLegendKey val="0"/>
          <c:showVal val="1"/>
          <c:showCatName val="1"/>
          <c:showSerName val="0"/>
          <c:showPercent val="0"/>
          <c:showBubbleSize val="0"/>
          <c:separator> </c:separator>
          <c:extLst>
            <c:ext xmlns:c15="http://schemas.microsoft.com/office/drawing/2012/chart" uri="{CE6537A1-D6FC-4f65-9D91-7224C49458BB}"/>
          </c:extLst>
        </c:dLbl>
      </c:pivotFmt>
      <c:pivotFmt>
        <c:idx val="78"/>
        <c:spPr>
          <a:solidFill>
            <a:srgbClr val="FFC000"/>
          </a:solidFill>
          <a:ln w="9525">
            <a:solidFill>
              <a:schemeClr val="accent6">
                <a:lumMod val="75000"/>
              </a:schemeClr>
            </a:solidFill>
          </a:ln>
          <a:effectLst/>
        </c:spPr>
        <c:dLbl>
          <c:idx val="0"/>
          <c:layout>
            <c:manualLayout>
              <c:x val="-3.3981586871421401E-2"/>
              <c:y val="-6.3134069913298937E-2"/>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accent5">
                      <a:lumMod val="50000"/>
                    </a:schemeClr>
                  </a:solidFill>
                  <a:latin typeface="+mn-lt"/>
                  <a:ea typeface="+mn-ea"/>
                  <a:cs typeface="+mn-cs"/>
                </a:defRPr>
              </a:pPr>
              <a:endParaRPr lang="en-US"/>
            </a:p>
          </c:txPr>
          <c:showLegendKey val="0"/>
          <c:showVal val="1"/>
          <c:showCatName val="1"/>
          <c:showSerName val="0"/>
          <c:showPercent val="0"/>
          <c:showBubbleSize val="0"/>
          <c:separator> </c:separator>
          <c:extLst>
            <c:ext xmlns:c15="http://schemas.microsoft.com/office/drawing/2012/chart" uri="{CE6537A1-D6FC-4f65-9D91-7224C49458BB}"/>
          </c:extLst>
        </c:dLbl>
      </c:pivotFmt>
    </c:pivotFmts>
    <c:plotArea>
      <c:layout/>
      <c:pieChart>
        <c:varyColors val="1"/>
        <c:ser>
          <c:idx val="0"/>
          <c:order val="0"/>
          <c:tx>
            <c:strRef>
              <c:f>'CALCULATION- LTL'!$B$47</c:f>
              <c:strCache>
                <c:ptCount val="1"/>
                <c:pt idx="0">
                  <c:v>Total</c:v>
                </c:pt>
              </c:strCache>
            </c:strRef>
          </c:tx>
          <c:spPr>
            <a:solidFill>
              <a:srgbClr val="FFC000"/>
            </a:solidFill>
            <a:ln w="9525">
              <a:solidFill>
                <a:schemeClr val="accent6">
                  <a:lumMod val="75000"/>
                </a:schemeClr>
              </a:solidFill>
            </a:ln>
          </c:spPr>
          <c:dPt>
            <c:idx val="0"/>
            <c:bubble3D val="0"/>
            <c:explosion val="7"/>
            <c:spPr>
              <a:solidFill>
                <a:srgbClr val="00B0F0"/>
              </a:solidFill>
              <a:ln w="9525">
                <a:solidFill>
                  <a:schemeClr val="accent6">
                    <a:lumMod val="75000"/>
                  </a:schemeClr>
                </a:solidFill>
              </a:ln>
              <a:effectLst/>
            </c:spPr>
            <c:extLst>
              <c:ext xmlns:c16="http://schemas.microsoft.com/office/drawing/2014/chart" uri="{C3380CC4-5D6E-409C-BE32-E72D297353CC}">
                <c16:uniqueId val="{00000001-9525-4167-B32A-813BD9A4B9EC}"/>
              </c:ext>
            </c:extLst>
          </c:dPt>
          <c:dPt>
            <c:idx val="1"/>
            <c:bubble3D val="0"/>
            <c:explosion val="10"/>
            <c:spPr>
              <a:solidFill>
                <a:schemeClr val="accent6">
                  <a:lumMod val="75000"/>
                </a:schemeClr>
              </a:solidFill>
              <a:ln w="9525">
                <a:solidFill>
                  <a:schemeClr val="accent6">
                    <a:lumMod val="75000"/>
                  </a:schemeClr>
                </a:solidFill>
              </a:ln>
              <a:effectLst/>
            </c:spPr>
            <c:extLst>
              <c:ext xmlns:c16="http://schemas.microsoft.com/office/drawing/2014/chart" uri="{C3380CC4-5D6E-409C-BE32-E72D297353CC}">
                <c16:uniqueId val="{00000003-9525-4167-B32A-813BD9A4B9EC}"/>
              </c:ext>
            </c:extLst>
          </c:dPt>
          <c:dPt>
            <c:idx val="2"/>
            <c:bubble3D val="0"/>
            <c:explosion val="25"/>
            <c:spPr>
              <a:solidFill>
                <a:srgbClr val="C00000"/>
              </a:solidFill>
              <a:ln w="9525">
                <a:solidFill>
                  <a:schemeClr val="accent6">
                    <a:lumMod val="75000"/>
                  </a:schemeClr>
                </a:solidFill>
              </a:ln>
              <a:effectLst/>
            </c:spPr>
            <c:extLst>
              <c:ext xmlns:c16="http://schemas.microsoft.com/office/drawing/2014/chart" uri="{C3380CC4-5D6E-409C-BE32-E72D297353CC}">
                <c16:uniqueId val="{00000005-9525-4167-B32A-813BD9A4B9EC}"/>
              </c:ext>
            </c:extLst>
          </c:dPt>
          <c:dPt>
            <c:idx val="3"/>
            <c:bubble3D val="0"/>
            <c:explosion val="17"/>
            <c:spPr>
              <a:solidFill>
                <a:srgbClr val="0070C0"/>
              </a:solidFill>
              <a:ln w="9525">
                <a:solidFill>
                  <a:schemeClr val="accent6">
                    <a:lumMod val="75000"/>
                  </a:schemeClr>
                </a:solidFill>
              </a:ln>
              <a:effectLst/>
            </c:spPr>
            <c:extLst>
              <c:ext xmlns:c16="http://schemas.microsoft.com/office/drawing/2014/chart" uri="{C3380CC4-5D6E-409C-BE32-E72D297353CC}">
                <c16:uniqueId val="{00000007-EF3B-4002-ADAF-9AB1D9D52051}"/>
              </c:ext>
            </c:extLst>
          </c:dPt>
          <c:dPt>
            <c:idx val="4"/>
            <c:bubble3D val="0"/>
            <c:spPr>
              <a:solidFill>
                <a:schemeClr val="accent4">
                  <a:lumMod val="50000"/>
                </a:schemeClr>
              </a:solidFill>
              <a:ln w="9525">
                <a:solidFill>
                  <a:schemeClr val="accent6">
                    <a:lumMod val="75000"/>
                  </a:schemeClr>
                </a:solidFill>
              </a:ln>
              <a:effectLst/>
            </c:spPr>
            <c:extLst>
              <c:ext xmlns:c16="http://schemas.microsoft.com/office/drawing/2014/chart" uri="{C3380CC4-5D6E-409C-BE32-E72D297353CC}">
                <c16:uniqueId val="{00000009-EF3B-4002-ADAF-9AB1D9D52051}"/>
              </c:ext>
            </c:extLst>
          </c:dPt>
          <c:dPt>
            <c:idx val="5"/>
            <c:bubble3D val="0"/>
            <c:explosion val="10"/>
            <c:spPr>
              <a:solidFill>
                <a:srgbClr val="FFC000"/>
              </a:solidFill>
              <a:ln w="9525">
                <a:solidFill>
                  <a:schemeClr val="accent6">
                    <a:lumMod val="75000"/>
                  </a:schemeClr>
                </a:solidFill>
              </a:ln>
              <a:effectLst/>
            </c:spPr>
            <c:extLst>
              <c:ext xmlns:c16="http://schemas.microsoft.com/office/drawing/2014/chart" uri="{C3380CC4-5D6E-409C-BE32-E72D297353CC}">
                <c16:uniqueId val="{0000000B-EF3B-4002-ADAF-9AB1D9D52051}"/>
              </c:ext>
            </c:extLst>
          </c:dPt>
          <c:dLbls>
            <c:dLbl>
              <c:idx val="0"/>
              <c:layout>
                <c:manualLayout>
                  <c:x val="2.1334455082030735E-2"/>
                  <c:y val="-2.0447499612775265E-3"/>
                </c:manualLayout>
              </c:layout>
              <c:showLegendKey val="0"/>
              <c:showVal val="1"/>
              <c:showCatName val="1"/>
              <c:showSerName val="0"/>
              <c:showPercent val="0"/>
              <c:showBubbleSize val="0"/>
              <c:separator> </c:separator>
              <c:extLst>
                <c:ext xmlns:c15="http://schemas.microsoft.com/office/drawing/2012/chart" uri="{CE6537A1-D6FC-4f65-9D91-7224C49458BB}"/>
                <c:ext xmlns:c16="http://schemas.microsoft.com/office/drawing/2014/chart" uri="{C3380CC4-5D6E-409C-BE32-E72D297353CC}">
                  <c16:uniqueId val="{00000001-9525-4167-B32A-813BD9A4B9EC}"/>
                </c:ext>
              </c:extLst>
            </c:dLbl>
            <c:dLbl>
              <c:idx val="1"/>
              <c:layout>
                <c:manualLayout>
                  <c:x val="3.3684114982038139E-2"/>
                  <c:y val="-4.9190929078391572E-2"/>
                </c:manualLayout>
              </c:layout>
              <c:showLegendKey val="0"/>
              <c:showVal val="1"/>
              <c:showCatName val="1"/>
              <c:showSerName val="0"/>
              <c:showPercent val="0"/>
              <c:showBubbleSize val="0"/>
              <c:separator> </c:separator>
              <c:extLst>
                <c:ext xmlns:c15="http://schemas.microsoft.com/office/drawing/2012/chart" uri="{CE6537A1-D6FC-4f65-9D91-7224C49458BB}"/>
                <c:ext xmlns:c16="http://schemas.microsoft.com/office/drawing/2014/chart" uri="{C3380CC4-5D6E-409C-BE32-E72D297353CC}">
                  <c16:uniqueId val="{00000003-9525-4167-B32A-813BD9A4B9EC}"/>
                </c:ext>
              </c:extLst>
            </c:dLbl>
            <c:dLbl>
              <c:idx val="2"/>
              <c:layout>
                <c:manualLayout>
                  <c:x val="7.877742104457254E-2"/>
                  <c:y val="4.2247998039642999E-2"/>
                </c:manualLayout>
              </c:layout>
              <c:showLegendKey val="0"/>
              <c:showVal val="1"/>
              <c:showCatName val="1"/>
              <c:showSerName val="0"/>
              <c:showPercent val="0"/>
              <c:showBubbleSize val="0"/>
              <c:separator> </c:separator>
              <c:extLst>
                <c:ext xmlns:c15="http://schemas.microsoft.com/office/drawing/2012/chart" uri="{CE6537A1-D6FC-4f65-9D91-7224C49458BB}"/>
                <c:ext xmlns:c16="http://schemas.microsoft.com/office/drawing/2014/chart" uri="{C3380CC4-5D6E-409C-BE32-E72D297353CC}">
                  <c16:uniqueId val="{00000005-9525-4167-B32A-813BD9A4B9EC}"/>
                </c:ext>
              </c:extLst>
            </c:dLbl>
            <c:dLbl>
              <c:idx val="3"/>
              <c:layout>
                <c:manualLayout>
                  <c:x val="4.7651182937012426E-2"/>
                  <c:y val="-3.986296480949067E-2"/>
                </c:manualLayout>
              </c:layout>
              <c:showLegendKey val="0"/>
              <c:showVal val="1"/>
              <c:showCatName val="1"/>
              <c:showSerName val="0"/>
              <c:showPercent val="0"/>
              <c:showBubbleSize val="0"/>
              <c:separator> </c:separator>
              <c:extLst>
                <c:ext xmlns:c15="http://schemas.microsoft.com/office/drawing/2012/chart" uri="{CE6537A1-D6FC-4f65-9D91-7224C49458BB}"/>
                <c:ext xmlns:c16="http://schemas.microsoft.com/office/drawing/2014/chart" uri="{C3380CC4-5D6E-409C-BE32-E72D297353CC}">
                  <c16:uniqueId val="{00000007-EF3B-4002-ADAF-9AB1D9D52051}"/>
                </c:ext>
              </c:extLst>
            </c:dLbl>
            <c:dLbl>
              <c:idx val="4"/>
              <c:layout>
                <c:manualLayout>
                  <c:x val="-0.20935671131859568"/>
                  <c:y val="7.3835368649810698E-3"/>
                </c:manualLayout>
              </c:layout>
              <c:showLegendKey val="0"/>
              <c:showVal val="1"/>
              <c:showCatName val="1"/>
              <c:showSerName val="0"/>
              <c:showPercent val="0"/>
              <c:showBubbleSize val="0"/>
              <c:separator> </c:separator>
              <c:extLst>
                <c:ext xmlns:c15="http://schemas.microsoft.com/office/drawing/2012/chart" uri="{CE6537A1-D6FC-4f65-9D91-7224C49458BB}"/>
                <c:ext xmlns:c16="http://schemas.microsoft.com/office/drawing/2014/chart" uri="{C3380CC4-5D6E-409C-BE32-E72D297353CC}">
                  <c16:uniqueId val="{00000009-EF3B-4002-ADAF-9AB1D9D52051}"/>
                </c:ext>
              </c:extLst>
            </c:dLbl>
            <c:dLbl>
              <c:idx val="5"/>
              <c:layout>
                <c:manualLayout>
                  <c:x val="-3.3981586871421401E-2"/>
                  <c:y val="-6.3134069913298937E-2"/>
                </c:manualLayout>
              </c:layout>
              <c:showLegendKey val="0"/>
              <c:showVal val="1"/>
              <c:showCatName val="1"/>
              <c:showSerName val="0"/>
              <c:showPercent val="0"/>
              <c:showBubbleSize val="0"/>
              <c:separator> </c:separator>
              <c:extLst>
                <c:ext xmlns:c15="http://schemas.microsoft.com/office/drawing/2012/chart" uri="{CE6537A1-D6FC-4f65-9D91-7224C49458BB}"/>
                <c:ext xmlns:c16="http://schemas.microsoft.com/office/drawing/2014/chart" uri="{C3380CC4-5D6E-409C-BE32-E72D297353CC}">
                  <c16:uniqueId val="{0000000B-EF3B-4002-ADAF-9AB1D9D52051}"/>
                </c:ext>
              </c:extLst>
            </c:dLbl>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accent5">
                        <a:lumMod val="50000"/>
                      </a:schemeClr>
                    </a:solidFill>
                    <a:latin typeface="+mn-lt"/>
                    <a:ea typeface="+mn-ea"/>
                    <a:cs typeface="+mn-cs"/>
                  </a:defRPr>
                </a:pPr>
                <a:endParaRPr lang="en-US"/>
              </a:p>
            </c:txPr>
            <c:showLegendKey val="0"/>
            <c:showVal val="1"/>
            <c:showCatName val="1"/>
            <c:showSerName val="0"/>
            <c:showPercent val="0"/>
            <c:showBubbleSize val="0"/>
            <c:separator> </c:separator>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'CALCULATION- LTL'!$A$48:$A$54</c:f>
              <c:strCache>
                <c:ptCount val="6"/>
                <c:pt idx="0">
                  <c:v>NANG DONG</c:v>
                </c:pt>
                <c:pt idx="1">
                  <c:v>NETCO</c:v>
                </c:pt>
                <c:pt idx="2">
                  <c:v>NHAT QUANG</c:v>
                </c:pt>
                <c:pt idx="3">
                  <c:v>NHAT TIN</c:v>
                </c:pt>
                <c:pt idx="4">
                  <c:v>NHUT LIEN</c:v>
                </c:pt>
                <c:pt idx="5">
                  <c:v>TASETCO</c:v>
                </c:pt>
              </c:strCache>
            </c:strRef>
          </c:cat>
          <c:val>
            <c:numRef>
              <c:f>'CALCULATION- LTL'!$B$48:$B$54</c:f>
              <c:numCache>
                <c:formatCode>0.00%</c:formatCode>
                <c:ptCount val="6"/>
                <c:pt idx="0">
                  <c:v>0.14220425821073227</c:v>
                </c:pt>
                <c:pt idx="1">
                  <c:v>6.1993365561504157E-2</c:v>
                </c:pt>
                <c:pt idx="2">
                  <c:v>5.8403729145656827E-3</c:v>
                </c:pt>
                <c:pt idx="3">
                  <c:v>0.13550442513567618</c:v>
                </c:pt>
                <c:pt idx="4">
                  <c:v>7.374369136600057E-5</c:v>
                </c:pt>
                <c:pt idx="5">
                  <c:v>0.65438383448615556</c:v>
                </c:pt>
              </c:numCache>
            </c:numRef>
          </c:val>
          <c:extLst>
            <c:ext xmlns:c16="http://schemas.microsoft.com/office/drawing/2014/chart" uri="{C3380CC4-5D6E-409C-BE32-E72D297353CC}">
              <c16:uniqueId val="{00000006-9525-4167-B32A-813BD9A4B9EC}"/>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accent6">
        <a:lumMod val="20000"/>
        <a:lumOff val="80000"/>
      </a:schemeClr>
    </a:solidFill>
    <a:ln w="25400" cap="flat" cmpd="sng" algn="ctr">
      <a:solidFill>
        <a:schemeClr val="accent6">
          <a:lumMod val="75000"/>
        </a:schemeClr>
      </a:solidFill>
      <a:prstDash val="lgDash"/>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withinLinearReversed" id="21">
  <a:schemeClr val="accent1"/>
</cs:colorStyle>
</file>

<file path=xl/charts/colors3.xml><?xml version="1.0" encoding="utf-8"?>
<cs:colorStyle xmlns:cs="http://schemas.microsoft.com/office/drawing/2012/chartStyle" xmlns:a="http://schemas.openxmlformats.org/drawingml/2006/main" meth="withinLinearReversed" id="25">
  <a:schemeClr val="accent5"/>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withinLinearReversed" id="21">
  <a:schemeClr val="accent1"/>
</cs:colorStyle>
</file>

<file path=xl/charts/colors7.xml><?xml version="1.0" encoding="utf-8"?>
<cs:colorStyle xmlns:cs="http://schemas.microsoft.com/office/drawing/2012/chartStyle" xmlns:a="http://schemas.openxmlformats.org/drawingml/2006/main" meth="withinLinearReversed" id="25">
  <a:schemeClr val="accent5"/>
</cs:colorStyle>
</file>

<file path=xl/charts/colors8.xml><?xml version="1.0" encoding="utf-8"?>
<cs:colorStyle xmlns:cs="http://schemas.microsoft.com/office/drawing/2012/chartStyle" xmlns:a="http://schemas.openxmlformats.org/drawingml/2006/main" meth="withinLinearReversed" id="25">
  <a:schemeClr val="accent5"/>
</cs:colorStyle>
</file>

<file path=xl/charts/colors9.xml><?xml version="1.0" encoding="utf-8"?>
<cs:colorStyle xmlns:cs="http://schemas.microsoft.com/office/drawing/2012/chartStyle" xmlns:a="http://schemas.openxmlformats.org/drawingml/2006/main" meth="withinLinearReversed" id="25">
  <a:schemeClr val="accent5"/>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2.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3" Type="http://schemas.openxmlformats.org/officeDocument/2006/relationships/chart" Target="../charts/chart6.xml"/><Relationship Id="rId2" Type="http://schemas.openxmlformats.org/officeDocument/2006/relationships/chart" Target="../charts/chart5.xml"/><Relationship Id="rId1" Type="http://schemas.openxmlformats.org/officeDocument/2006/relationships/chart" Target="../charts/chart4.xml"/></Relationships>
</file>

<file path=xl/drawings/_rels/drawing4.xml.rels><?xml version="1.0" encoding="UTF-8" standalone="yes"?>
<Relationships xmlns="http://schemas.openxmlformats.org/package/2006/relationships"><Relationship Id="rId3" Type="http://schemas.openxmlformats.org/officeDocument/2006/relationships/chart" Target="../charts/chart9.xml"/><Relationship Id="rId2" Type="http://schemas.openxmlformats.org/officeDocument/2006/relationships/chart" Target="../charts/chart8.xml"/><Relationship Id="rId1" Type="http://schemas.openxmlformats.org/officeDocument/2006/relationships/chart" Target="../charts/chart7.xml"/></Relationships>
</file>

<file path=xl/drawings/drawing1.xml><?xml version="1.0" encoding="utf-8"?>
<xdr:wsDr xmlns:xdr="http://schemas.openxmlformats.org/drawingml/2006/spreadsheetDrawing" xmlns:a="http://schemas.openxmlformats.org/drawingml/2006/main">
  <xdr:twoCellAnchor>
    <xdr:from>
      <xdr:col>5</xdr:col>
      <xdr:colOff>1409700</xdr:colOff>
      <xdr:row>0</xdr:row>
      <xdr:rowOff>0</xdr:rowOff>
    </xdr:from>
    <xdr:to>
      <xdr:col>6</xdr:col>
      <xdr:colOff>0</xdr:colOff>
      <xdr:row>2</xdr:row>
      <xdr:rowOff>123825</xdr:rowOff>
    </xdr:to>
    <xdr:sp macro="[0]!Refresh" textlink="">
      <xdr:nvSpPr>
        <xdr:cNvPr id="2" name="Rectangle 1">
          <a:extLst>
            <a:ext uri="{FF2B5EF4-FFF2-40B4-BE49-F238E27FC236}">
              <a16:creationId xmlns:a16="http://schemas.microsoft.com/office/drawing/2014/main" id="{FE7B2AE5-9843-964D-1B26-DDB4FE301441}"/>
            </a:ext>
          </a:extLst>
        </xdr:cNvPr>
        <xdr:cNvSpPr/>
      </xdr:nvSpPr>
      <xdr:spPr>
        <a:xfrm>
          <a:off x="5391150" y="0"/>
          <a:ext cx="1514475" cy="504825"/>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400"/>
            <a:t>Refresh All</a:t>
          </a:r>
        </a:p>
        <a:p>
          <a:pPr algn="l"/>
          <a:endParaRPr lang="en-US" sz="1400"/>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95249</xdr:colOff>
      <xdr:row>0</xdr:row>
      <xdr:rowOff>9525</xdr:rowOff>
    </xdr:from>
    <xdr:to>
      <xdr:col>19</xdr:col>
      <xdr:colOff>85724</xdr:colOff>
      <xdr:row>3</xdr:row>
      <xdr:rowOff>95250</xdr:rowOff>
    </xdr:to>
    <xdr:sp macro="" textlink="">
      <xdr:nvSpPr>
        <xdr:cNvPr id="3" name="Rectangle 2">
          <a:extLst>
            <a:ext uri="{FF2B5EF4-FFF2-40B4-BE49-F238E27FC236}">
              <a16:creationId xmlns:a16="http://schemas.microsoft.com/office/drawing/2014/main" id="{D71ECDED-6B53-3709-A306-94617B251AA6}"/>
            </a:ext>
          </a:extLst>
        </xdr:cNvPr>
        <xdr:cNvSpPr/>
      </xdr:nvSpPr>
      <xdr:spPr>
        <a:xfrm>
          <a:off x="95249" y="9525"/>
          <a:ext cx="12206288" cy="633413"/>
        </a:xfrm>
        <a:prstGeom prst="rect">
          <a:avLst/>
        </a:prstGeom>
        <a:solidFill>
          <a:schemeClr val="accent4">
            <a:lumMod val="40000"/>
            <a:lumOff val="60000"/>
          </a:schemeClr>
        </a:solidFill>
        <a:ln>
          <a:solidFill>
            <a:sysClr val="windowText" lastClr="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800" baseline="0">
              <a:solidFill>
                <a:schemeClr val="accent1">
                  <a:lumMod val="75000"/>
                </a:schemeClr>
              </a:solidFill>
              <a:latin typeface="UTM HelvetIns" panose="02040603050506020204" pitchFamily="18" charset="0"/>
              <a:ea typeface="+mn-ea"/>
              <a:cs typeface="+mn-cs"/>
            </a:rPr>
            <a:t>TRANSPORATION COST MONITORING </a:t>
          </a:r>
          <a:r>
            <a:rPr lang="en-US" sz="2800" baseline="0">
              <a:solidFill>
                <a:schemeClr val="accent1">
                  <a:lumMod val="75000"/>
                </a:schemeClr>
              </a:solidFill>
              <a:latin typeface="UTM HelvetIns" panose="02040603050506020204" pitchFamily="18" charset="0"/>
            </a:rPr>
            <a:t>- SHORT ROUTE</a:t>
          </a:r>
          <a:endParaRPr lang="en-US" sz="2800">
            <a:solidFill>
              <a:schemeClr val="accent1">
                <a:lumMod val="75000"/>
              </a:schemeClr>
            </a:solidFill>
            <a:latin typeface="UTM HelvetIns" panose="02040603050506020204" pitchFamily="18" charset="0"/>
          </a:endParaRPr>
        </a:p>
      </xdr:txBody>
    </xdr:sp>
    <xdr:clientData/>
  </xdr:twoCellAnchor>
  <xdr:twoCellAnchor>
    <xdr:from>
      <xdr:col>0</xdr:col>
      <xdr:colOff>66675</xdr:colOff>
      <xdr:row>16</xdr:row>
      <xdr:rowOff>152400</xdr:rowOff>
    </xdr:from>
    <xdr:to>
      <xdr:col>7</xdr:col>
      <xdr:colOff>480786</xdr:colOff>
      <xdr:row>36</xdr:row>
      <xdr:rowOff>76200</xdr:rowOff>
    </xdr:to>
    <xdr:graphicFrame macro="">
      <xdr:nvGraphicFramePr>
        <xdr:cNvPr id="25" name="Chart 24">
          <a:extLst>
            <a:ext uri="{FF2B5EF4-FFF2-40B4-BE49-F238E27FC236}">
              <a16:creationId xmlns:a16="http://schemas.microsoft.com/office/drawing/2014/main" id="{7AFF79C6-C624-4F77-B3A9-EC2B774EB44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0</xdr:col>
      <xdr:colOff>95251</xdr:colOff>
      <xdr:row>3</xdr:row>
      <xdr:rowOff>104775</xdr:rowOff>
    </xdr:from>
    <xdr:to>
      <xdr:col>4</xdr:col>
      <xdr:colOff>19050</xdr:colOff>
      <xdr:row>10</xdr:row>
      <xdr:rowOff>0</xdr:rowOff>
    </xdr:to>
    <mc:AlternateContent xmlns:mc="http://schemas.openxmlformats.org/markup-compatibility/2006" xmlns:a14="http://schemas.microsoft.com/office/drawing/2010/main">
      <mc:Choice Requires="a14">
        <xdr:graphicFrame macro="">
          <xdr:nvGraphicFramePr>
            <xdr:cNvPr id="26" name="Chi nhánh">
              <a:extLst>
                <a:ext uri="{FF2B5EF4-FFF2-40B4-BE49-F238E27FC236}">
                  <a16:creationId xmlns:a16="http://schemas.microsoft.com/office/drawing/2014/main" id="{387C9A1D-7030-B7D4-D1A9-6E4FAB490D26}"/>
                </a:ext>
              </a:extLst>
            </xdr:cNvPr>
            <xdr:cNvGraphicFramePr/>
          </xdr:nvGraphicFramePr>
          <xdr:xfrm>
            <a:off x="0" y="0"/>
            <a:ext cx="0" cy="0"/>
          </xdr:xfrm>
          <a:graphic>
            <a:graphicData uri="http://schemas.microsoft.com/office/drawing/2010/slicer">
              <sle:slicer xmlns:sle="http://schemas.microsoft.com/office/drawing/2010/slicer" name="Chi nhánh"/>
            </a:graphicData>
          </a:graphic>
        </xdr:graphicFrame>
      </mc:Choice>
      <mc:Fallback xmlns="">
        <xdr:sp macro="" textlink="">
          <xdr:nvSpPr>
            <xdr:cNvPr id="0" name=""/>
            <xdr:cNvSpPr>
              <a:spLocks noTextEdit="1"/>
            </xdr:cNvSpPr>
          </xdr:nvSpPr>
          <xdr:spPr>
            <a:xfrm>
              <a:off x="95251" y="676275"/>
              <a:ext cx="2362199" cy="12287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10</xdr:col>
      <xdr:colOff>542924</xdr:colOff>
      <xdr:row>4</xdr:row>
      <xdr:rowOff>133350</xdr:rowOff>
    </xdr:from>
    <xdr:to>
      <xdr:col>19</xdr:col>
      <xdr:colOff>66673</xdr:colOff>
      <xdr:row>19</xdr:row>
      <xdr:rowOff>152400</xdr:rowOff>
    </xdr:to>
    <xdr:graphicFrame macro="">
      <xdr:nvGraphicFramePr>
        <xdr:cNvPr id="37" name="Chart 36">
          <a:extLst>
            <a:ext uri="{FF2B5EF4-FFF2-40B4-BE49-F238E27FC236}">
              <a16:creationId xmlns:a16="http://schemas.microsoft.com/office/drawing/2014/main" id="{89865B5E-BAF2-4485-B3DA-429A0A4F5DF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10</xdr:col>
      <xdr:colOff>552450</xdr:colOff>
      <xdr:row>20</xdr:row>
      <xdr:rowOff>142875</xdr:rowOff>
    </xdr:from>
    <xdr:to>
      <xdr:col>19</xdr:col>
      <xdr:colOff>57149</xdr:colOff>
      <xdr:row>36</xdr:row>
      <xdr:rowOff>85725</xdr:rowOff>
    </xdr:to>
    <xdr:graphicFrame macro="">
      <xdr:nvGraphicFramePr>
        <xdr:cNvPr id="38" name="Chart 37">
          <a:extLst>
            <a:ext uri="{FF2B5EF4-FFF2-40B4-BE49-F238E27FC236}">
              <a16:creationId xmlns:a16="http://schemas.microsoft.com/office/drawing/2014/main" id="{E86E6CB6-D621-4702-8A72-72BC045046B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8</xdr:col>
      <xdr:colOff>219075</xdr:colOff>
      <xdr:row>12</xdr:row>
      <xdr:rowOff>152401</xdr:rowOff>
    </xdr:from>
    <xdr:to>
      <xdr:col>10</xdr:col>
      <xdr:colOff>473982</xdr:colOff>
      <xdr:row>22</xdr:row>
      <xdr:rowOff>161925</xdr:rowOff>
    </xdr:to>
    <mc:AlternateContent xmlns:mc="http://schemas.openxmlformats.org/markup-compatibility/2006" xmlns:a14="http://schemas.microsoft.com/office/drawing/2010/main">
      <mc:Choice Requires="a14">
        <xdr:graphicFrame macro="">
          <xdr:nvGraphicFramePr>
            <xdr:cNvPr id="39" name="Chi nhánh 2">
              <a:extLst>
                <a:ext uri="{FF2B5EF4-FFF2-40B4-BE49-F238E27FC236}">
                  <a16:creationId xmlns:a16="http://schemas.microsoft.com/office/drawing/2014/main" id="{764FB236-B096-4904-B768-2AD4267F307C}"/>
                </a:ext>
              </a:extLst>
            </xdr:cNvPr>
            <xdr:cNvGraphicFramePr/>
          </xdr:nvGraphicFramePr>
          <xdr:xfrm>
            <a:off x="0" y="0"/>
            <a:ext cx="0" cy="0"/>
          </xdr:xfrm>
          <a:graphic>
            <a:graphicData uri="http://schemas.microsoft.com/office/drawing/2010/slicer">
              <sle:slicer xmlns:sle="http://schemas.microsoft.com/office/drawing/2010/slicer" name="Chi nhánh 2"/>
            </a:graphicData>
          </a:graphic>
        </xdr:graphicFrame>
      </mc:Choice>
      <mc:Fallback xmlns="">
        <xdr:sp macro="" textlink="">
          <xdr:nvSpPr>
            <xdr:cNvPr id="0" name=""/>
            <xdr:cNvSpPr>
              <a:spLocks noTextEdit="1"/>
            </xdr:cNvSpPr>
          </xdr:nvSpPr>
          <xdr:spPr>
            <a:xfrm>
              <a:off x="5095875" y="2438401"/>
              <a:ext cx="1428750" cy="1914524"/>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8</xdr:col>
      <xdr:colOff>228600</xdr:colOff>
      <xdr:row>3</xdr:row>
      <xdr:rowOff>114300</xdr:rowOff>
    </xdr:from>
    <xdr:to>
      <xdr:col>10</xdr:col>
      <xdr:colOff>483507</xdr:colOff>
      <xdr:row>12</xdr:row>
      <xdr:rowOff>66675</xdr:rowOff>
    </xdr:to>
    <mc:AlternateContent xmlns:mc="http://schemas.openxmlformats.org/markup-compatibility/2006" xmlns:a14="http://schemas.microsoft.com/office/drawing/2010/main">
      <mc:Choice Requires="a14">
        <xdr:graphicFrame macro="">
          <xdr:nvGraphicFramePr>
            <xdr:cNvPr id="40" name="Tháng 1">
              <a:extLst>
                <a:ext uri="{FF2B5EF4-FFF2-40B4-BE49-F238E27FC236}">
                  <a16:creationId xmlns:a16="http://schemas.microsoft.com/office/drawing/2014/main" id="{A4497C13-5F29-47A1-A8A7-88010EA579EE}"/>
                </a:ext>
              </a:extLst>
            </xdr:cNvPr>
            <xdr:cNvGraphicFramePr/>
          </xdr:nvGraphicFramePr>
          <xdr:xfrm>
            <a:off x="0" y="0"/>
            <a:ext cx="0" cy="0"/>
          </xdr:xfrm>
          <a:graphic>
            <a:graphicData uri="http://schemas.microsoft.com/office/drawing/2010/slicer">
              <sle:slicer xmlns:sle="http://schemas.microsoft.com/office/drawing/2010/slicer" name="Tháng 1"/>
            </a:graphicData>
          </a:graphic>
        </xdr:graphicFrame>
      </mc:Choice>
      <mc:Fallback xmlns="">
        <xdr:sp macro="" textlink="">
          <xdr:nvSpPr>
            <xdr:cNvPr id="0" name=""/>
            <xdr:cNvSpPr>
              <a:spLocks noTextEdit="1"/>
            </xdr:cNvSpPr>
          </xdr:nvSpPr>
          <xdr:spPr>
            <a:xfrm>
              <a:off x="5105400" y="685800"/>
              <a:ext cx="1428750" cy="16668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4</xdr:col>
      <xdr:colOff>38100</xdr:colOff>
      <xdr:row>3</xdr:row>
      <xdr:rowOff>114301</xdr:rowOff>
    </xdr:from>
    <xdr:to>
      <xdr:col>7</xdr:col>
      <xdr:colOff>489858</xdr:colOff>
      <xdr:row>10</xdr:row>
      <xdr:rowOff>1</xdr:rowOff>
    </xdr:to>
    <mc:AlternateContent xmlns:mc="http://schemas.openxmlformats.org/markup-compatibility/2006" xmlns:a14="http://schemas.microsoft.com/office/drawing/2010/main">
      <mc:Choice Requires="a14">
        <xdr:graphicFrame macro="">
          <xdr:nvGraphicFramePr>
            <xdr:cNvPr id="47" name="Tháng">
              <a:extLst>
                <a:ext uri="{FF2B5EF4-FFF2-40B4-BE49-F238E27FC236}">
                  <a16:creationId xmlns:a16="http://schemas.microsoft.com/office/drawing/2014/main" id="{BAEE9479-C950-4A6A-8789-340FBB042C86}"/>
                </a:ext>
              </a:extLst>
            </xdr:cNvPr>
            <xdr:cNvGraphicFramePr/>
          </xdr:nvGraphicFramePr>
          <xdr:xfrm>
            <a:off x="0" y="0"/>
            <a:ext cx="0" cy="0"/>
          </xdr:xfrm>
          <a:graphic>
            <a:graphicData uri="http://schemas.microsoft.com/office/drawing/2010/slicer">
              <sle:slicer xmlns:sle="http://schemas.microsoft.com/office/drawing/2010/slicer" name="Tháng"/>
            </a:graphicData>
          </a:graphic>
        </xdr:graphicFrame>
      </mc:Choice>
      <mc:Fallback xmlns="">
        <xdr:sp macro="" textlink="">
          <xdr:nvSpPr>
            <xdr:cNvPr id="0" name=""/>
            <xdr:cNvSpPr>
              <a:spLocks noTextEdit="1"/>
            </xdr:cNvSpPr>
          </xdr:nvSpPr>
          <xdr:spPr>
            <a:xfrm>
              <a:off x="2614386" y="667658"/>
              <a:ext cx="2383972" cy="11557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8</xdr:col>
      <xdr:colOff>200025</xdr:colOff>
      <xdr:row>23</xdr:row>
      <xdr:rowOff>76195</xdr:rowOff>
    </xdr:from>
    <xdr:to>
      <xdr:col>10</xdr:col>
      <xdr:colOff>390526</xdr:colOff>
      <xdr:row>30</xdr:row>
      <xdr:rowOff>28567</xdr:rowOff>
    </xdr:to>
    <xdr:grpSp>
      <xdr:nvGrpSpPr>
        <xdr:cNvPr id="50" name="Group 49">
          <a:extLst>
            <a:ext uri="{FF2B5EF4-FFF2-40B4-BE49-F238E27FC236}">
              <a16:creationId xmlns:a16="http://schemas.microsoft.com/office/drawing/2014/main" id="{C5A48DC2-1545-46D8-2FDE-E69897ECF2C5}"/>
            </a:ext>
          </a:extLst>
        </xdr:cNvPr>
        <xdr:cNvGrpSpPr/>
      </xdr:nvGrpSpPr>
      <xdr:grpSpPr>
        <a:xfrm>
          <a:off x="5352596" y="4258124"/>
          <a:ext cx="1433287" cy="1222372"/>
          <a:chOff x="5086350" y="4676776"/>
          <a:chExt cx="1409701" cy="1085848"/>
        </a:xfrm>
      </xdr:grpSpPr>
      <xdr:sp macro="" textlink="">
        <xdr:nvSpPr>
          <xdr:cNvPr id="48" name="Rectangle 47">
            <a:extLst>
              <a:ext uri="{FF2B5EF4-FFF2-40B4-BE49-F238E27FC236}">
                <a16:creationId xmlns:a16="http://schemas.microsoft.com/office/drawing/2014/main" id="{9FC5FDDD-FFA6-4EE7-9E3E-BC9AF6A423F8}"/>
              </a:ext>
            </a:extLst>
          </xdr:cNvPr>
          <xdr:cNvSpPr/>
        </xdr:nvSpPr>
        <xdr:spPr>
          <a:xfrm>
            <a:off x="5086350" y="4676776"/>
            <a:ext cx="1409700" cy="828675"/>
          </a:xfrm>
          <a:prstGeom prst="rect">
            <a:avLst/>
          </a:prstGeom>
          <a:solidFill>
            <a:schemeClr val="accent6">
              <a:lumMod val="20000"/>
              <a:lumOff val="80000"/>
            </a:schemeClr>
          </a:solidFill>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ctr" anchorCtr="0" forceAA="0" compatLnSpc="1">
            <a:prstTxWarp prst="textNoShape">
              <a:avLst/>
            </a:prstTxWarp>
            <a:noAutofit/>
          </a:bodyPr>
          <a:lstStyle/>
          <a:p>
            <a:pPr marL="0" indent="0" algn="ctr"/>
            <a:r>
              <a:rPr lang="en-US" sz="1800" b="0" i="0" u="none" strike="noStrike">
                <a:solidFill>
                  <a:schemeClr val="accent1">
                    <a:lumMod val="75000"/>
                  </a:schemeClr>
                </a:solidFill>
                <a:latin typeface="UTM Bebas" panose="02040603050506020204" pitchFamily="18" charset="0"/>
                <a:ea typeface="+mn-ea"/>
                <a:cs typeface="Calibri"/>
              </a:rPr>
              <a:t>VENDORS</a:t>
            </a:r>
          </a:p>
          <a:p>
            <a:pPr marL="0" indent="0" algn="ctr"/>
            <a:endParaRPr lang="en-US" sz="1800" b="0" i="0" u="none" strike="noStrike">
              <a:solidFill>
                <a:schemeClr val="accent1">
                  <a:lumMod val="75000"/>
                </a:schemeClr>
              </a:solidFill>
              <a:latin typeface="UTM Bebas" panose="02040603050506020204" pitchFamily="18" charset="0"/>
              <a:ea typeface="+mn-ea"/>
              <a:cs typeface="Calibri"/>
            </a:endParaRPr>
          </a:p>
        </xdr:txBody>
      </xdr:sp>
      <xdr:sp macro="" textlink="'CALCULATION-NGẮN'!M3">
        <xdr:nvSpPr>
          <xdr:cNvPr id="44" name="Rectangle 43">
            <a:extLst>
              <a:ext uri="{FF2B5EF4-FFF2-40B4-BE49-F238E27FC236}">
                <a16:creationId xmlns:a16="http://schemas.microsoft.com/office/drawing/2014/main" id="{D097068F-0806-4D77-9D8C-DDC183C666DF}"/>
              </a:ext>
            </a:extLst>
          </xdr:cNvPr>
          <xdr:cNvSpPr/>
        </xdr:nvSpPr>
        <xdr:spPr>
          <a:xfrm>
            <a:off x="5086351" y="5143500"/>
            <a:ext cx="1409700" cy="619124"/>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t" anchorCtr="0" forceAA="0" compatLnSpc="1">
            <a:prstTxWarp prst="textNoShape">
              <a:avLst/>
            </a:prstTxWarp>
            <a:noAutofit/>
          </a:bodyPr>
          <a:lstStyle/>
          <a:p>
            <a:pPr marL="0" indent="0" algn="ctr"/>
            <a:fld id="{E4B6A6C1-DDBE-43DF-9178-66F2636370C4}" type="TxLink">
              <a:rPr lang="en-US" sz="2400" b="1" i="0" u="none" strike="noStrike">
                <a:solidFill>
                  <a:schemeClr val="accent1">
                    <a:lumMod val="75000"/>
                  </a:schemeClr>
                </a:solidFill>
                <a:latin typeface="UTM Bebas" panose="02040603050506020204" pitchFamily="18" charset="0"/>
                <a:ea typeface="+mn-ea"/>
                <a:cs typeface="Calibri"/>
              </a:rPr>
              <a:pPr marL="0" indent="0" algn="ctr"/>
              <a:t>16</a:t>
            </a:fld>
            <a:endParaRPr lang="en-US" sz="2400" b="1" i="0" u="none" strike="noStrike">
              <a:solidFill>
                <a:schemeClr val="accent1">
                  <a:lumMod val="75000"/>
                </a:schemeClr>
              </a:solidFill>
              <a:latin typeface="UTM Bebas" panose="02040603050506020204" pitchFamily="18" charset="0"/>
              <a:ea typeface="+mn-ea"/>
              <a:cs typeface="Calibri"/>
            </a:endParaRPr>
          </a:p>
        </xdr:txBody>
      </xdr:sp>
    </xdr:grpSp>
    <xdr:clientData/>
  </xdr:twoCellAnchor>
  <xdr:twoCellAnchor>
    <xdr:from>
      <xdr:col>8</xdr:col>
      <xdr:colOff>180975</xdr:colOff>
      <xdr:row>29</xdr:row>
      <xdr:rowOff>28575</xdr:rowOff>
    </xdr:from>
    <xdr:to>
      <xdr:col>10</xdr:col>
      <xdr:colOff>428626</xdr:colOff>
      <xdr:row>34</xdr:row>
      <xdr:rowOff>180975</xdr:rowOff>
    </xdr:to>
    <xdr:grpSp>
      <xdr:nvGrpSpPr>
        <xdr:cNvPr id="51" name="Group 50">
          <a:extLst>
            <a:ext uri="{FF2B5EF4-FFF2-40B4-BE49-F238E27FC236}">
              <a16:creationId xmlns:a16="http://schemas.microsoft.com/office/drawing/2014/main" id="{F8F45F06-FE9B-05D7-29E3-2E1DFAB5D2C3}"/>
            </a:ext>
          </a:extLst>
        </xdr:cNvPr>
        <xdr:cNvGrpSpPr/>
      </xdr:nvGrpSpPr>
      <xdr:grpSpPr>
        <a:xfrm>
          <a:off x="5333546" y="5299075"/>
          <a:ext cx="1490437" cy="1059543"/>
          <a:chOff x="5057775" y="5553075"/>
          <a:chExt cx="1466851" cy="1104900"/>
        </a:xfrm>
      </xdr:grpSpPr>
      <xdr:sp macro="" textlink="">
        <xdr:nvSpPr>
          <xdr:cNvPr id="49" name="Rectangle 48">
            <a:extLst>
              <a:ext uri="{FF2B5EF4-FFF2-40B4-BE49-F238E27FC236}">
                <a16:creationId xmlns:a16="http://schemas.microsoft.com/office/drawing/2014/main" id="{0EBE1EE4-D4D2-4648-8C6B-6FA14CD27A8D}"/>
              </a:ext>
            </a:extLst>
          </xdr:cNvPr>
          <xdr:cNvSpPr/>
        </xdr:nvSpPr>
        <xdr:spPr>
          <a:xfrm>
            <a:off x="5057775" y="5553075"/>
            <a:ext cx="1428750" cy="990599"/>
          </a:xfrm>
          <a:prstGeom prst="rect">
            <a:avLst/>
          </a:prstGeom>
          <a:solidFill>
            <a:schemeClr val="accent6">
              <a:lumMod val="20000"/>
              <a:lumOff val="80000"/>
            </a:schemeClr>
          </a:solidFill>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ctr" anchorCtr="0" forceAA="0" compatLnSpc="1">
            <a:prstTxWarp prst="textNoShape">
              <a:avLst/>
            </a:prstTxWarp>
            <a:noAutofit/>
          </a:bodyPr>
          <a:lstStyle/>
          <a:p>
            <a:pPr marL="0" indent="0" algn="ctr"/>
            <a:r>
              <a:rPr lang="en-US" sz="1800" b="0" i="0" u="none" strike="noStrike">
                <a:solidFill>
                  <a:schemeClr val="accent1">
                    <a:lumMod val="75000"/>
                  </a:schemeClr>
                </a:solidFill>
                <a:latin typeface="UTM Bebas" panose="02040603050506020204" pitchFamily="18" charset="0"/>
                <a:ea typeface="+mn-ea"/>
                <a:cs typeface="Calibri"/>
              </a:rPr>
              <a:t>AVG</a:t>
            </a:r>
            <a:r>
              <a:rPr lang="en-US" sz="1800" b="0" i="0" u="none" strike="noStrike" baseline="0">
                <a:solidFill>
                  <a:schemeClr val="accent1">
                    <a:lumMod val="75000"/>
                  </a:schemeClr>
                </a:solidFill>
                <a:latin typeface="UTM Bebas" panose="02040603050506020204" pitchFamily="18" charset="0"/>
                <a:ea typeface="+mn-ea"/>
                <a:cs typeface="Calibri"/>
              </a:rPr>
              <a:t> KPI</a:t>
            </a:r>
          </a:p>
          <a:p>
            <a:pPr marL="0" indent="0" algn="ctr"/>
            <a:endParaRPr lang="en-US" sz="1800" b="0" i="0" u="none" strike="noStrike">
              <a:solidFill>
                <a:schemeClr val="accent1">
                  <a:lumMod val="75000"/>
                </a:schemeClr>
              </a:solidFill>
              <a:latin typeface="UTM Bebas" panose="02040603050506020204" pitchFamily="18" charset="0"/>
              <a:ea typeface="+mn-ea"/>
              <a:cs typeface="Calibri"/>
            </a:endParaRPr>
          </a:p>
        </xdr:txBody>
      </xdr:sp>
      <xdr:sp macro="" textlink="'CALCULATION-NGẮN'!O3">
        <xdr:nvSpPr>
          <xdr:cNvPr id="45" name="Rectangle 44">
            <a:extLst>
              <a:ext uri="{FF2B5EF4-FFF2-40B4-BE49-F238E27FC236}">
                <a16:creationId xmlns:a16="http://schemas.microsoft.com/office/drawing/2014/main" id="{0DFCEC9C-4BB3-44ED-8738-2EF7EE886134}"/>
              </a:ext>
            </a:extLst>
          </xdr:cNvPr>
          <xdr:cNvSpPr/>
        </xdr:nvSpPr>
        <xdr:spPr>
          <a:xfrm>
            <a:off x="5086350" y="6010275"/>
            <a:ext cx="1438276" cy="64770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ctr" anchorCtr="0" forceAA="0" compatLnSpc="1">
            <a:prstTxWarp prst="textNoShape">
              <a:avLst/>
            </a:prstTxWarp>
            <a:noAutofit/>
          </a:bodyPr>
          <a:lstStyle/>
          <a:p>
            <a:pPr marL="0" indent="0" algn="ctr"/>
            <a:fld id="{FBDBCDC3-DF9A-4701-BC71-1EE7999E55F7}" type="TxLink">
              <a:rPr lang="en-US" sz="2000" b="0" i="0" u="none" strike="noStrike">
                <a:solidFill>
                  <a:schemeClr val="accent1">
                    <a:lumMod val="75000"/>
                  </a:schemeClr>
                </a:solidFill>
                <a:latin typeface="UTM Bebas" panose="02040603050506020204" pitchFamily="18" charset="0"/>
                <a:ea typeface="+mn-ea"/>
                <a:cs typeface="Calibri"/>
              </a:rPr>
              <a:pPr marL="0" indent="0" algn="ctr"/>
              <a:t>95.29%</a:t>
            </a:fld>
            <a:endParaRPr lang="en-US" sz="2000" b="0" i="0" u="none" strike="noStrike">
              <a:solidFill>
                <a:schemeClr val="accent1">
                  <a:lumMod val="75000"/>
                </a:schemeClr>
              </a:solidFill>
              <a:latin typeface="UTM Bebas" panose="02040603050506020204" pitchFamily="18" charset="0"/>
              <a:ea typeface="+mn-ea"/>
              <a:cs typeface="Calibri"/>
            </a:endParaRPr>
          </a:p>
        </xdr:txBody>
      </xdr:sp>
    </xdr:grpSp>
    <xdr:clientData/>
  </xdr:twoCellAnchor>
  <xdr:twoCellAnchor>
    <xdr:from>
      <xdr:col>0</xdr:col>
      <xdr:colOff>58510</xdr:colOff>
      <xdr:row>10</xdr:row>
      <xdr:rowOff>38099</xdr:rowOff>
    </xdr:from>
    <xdr:to>
      <xdr:col>4</xdr:col>
      <xdr:colOff>19051</xdr:colOff>
      <xdr:row>16</xdr:row>
      <xdr:rowOff>6826</xdr:rowOff>
    </xdr:to>
    <xdr:grpSp>
      <xdr:nvGrpSpPr>
        <xdr:cNvPr id="54" name="Group 53">
          <a:extLst>
            <a:ext uri="{FF2B5EF4-FFF2-40B4-BE49-F238E27FC236}">
              <a16:creationId xmlns:a16="http://schemas.microsoft.com/office/drawing/2014/main" id="{8740E842-6D53-90D5-DAC0-E853990BD88F}"/>
            </a:ext>
          </a:extLst>
        </xdr:cNvPr>
        <xdr:cNvGrpSpPr/>
      </xdr:nvGrpSpPr>
      <xdr:grpSpPr>
        <a:xfrm>
          <a:off x="58510" y="1861456"/>
          <a:ext cx="2536827" cy="1057299"/>
          <a:chOff x="60005" y="1943100"/>
          <a:chExt cx="2397446" cy="1103388"/>
        </a:xfrm>
      </xdr:grpSpPr>
      <xdr:sp macro="" textlink="">
        <xdr:nvSpPr>
          <xdr:cNvPr id="52" name="Rectangle 51">
            <a:extLst>
              <a:ext uri="{FF2B5EF4-FFF2-40B4-BE49-F238E27FC236}">
                <a16:creationId xmlns:a16="http://schemas.microsoft.com/office/drawing/2014/main" id="{28029FDD-971F-4160-97A7-5F708C699469}"/>
              </a:ext>
            </a:extLst>
          </xdr:cNvPr>
          <xdr:cNvSpPr/>
        </xdr:nvSpPr>
        <xdr:spPr>
          <a:xfrm>
            <a:off x="85725" y="1943100"/>
            <a:ext cx="2371726" cy="1085850"/>
          </a:xfrm>
          <a:prstGeom prst="rect">
            <a:avLst/>
          </a:prstGeom>
          <a:solidFill>
            <a:schemeClr val="accent6">
              <a:lumMod val="20000"/>
              <a:lumOff val="8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2000" b="1" i="0" u="none" strike="noStrike">
                <a:solidFill>
                  <a:schemeClr val="accent1">
                    <a:lumMod val="75000"/>
                  </a:schemeClr>
                </a:solidFill>
                <a:latin typeface="UTM Bebas" panose="02040603050506020204" pitchFamily="18" charset="0"/>
                <a:cs typeface="Calibri"/>
              </a:rPr>
              <a:t>TOTAL</a:t>
            </a:r>
            <a:r>
              <a:rPr lang="en-US" sz="2000" b="1" i="0" u="none" strike="noStrike" baseline="0">
                <a:solidFill>
                  <a:schemeClr val="accent1">
                    <a:lumMod val="75000"/>
                  </a:schemeClr>
                </a:solidFill>
                <a:latin typeface="UTM Bebas" panose="02040603050506020204" pitchFamily="18" charset="0"/>
                <a:cs typeface="Calibri"/>
              </a:rPr>
              <a:t> COST</a:t>
            </a:r>
            <a:endParaRPr lang="en-US" sz="2000" b="1" i="0" u="none" strike="noStrike">
              <a:solidFill>
                <a:schemeClr val="accent1">
                  <a:lumMod val="75000"/>
                </a:schemeClr>
              </a:solidFill>
              <a:latin typeface="UTM Bebas" panose="02040603050506020204" pitchFamily="18" charset="0"/>
              <a:cs typeface="Calibri"/>
            </a:endParaRPr>
          </a:p>
        </xdr:txBody>
      </xdr:sp>
      <xdr:sp macro="" textlink="'CALCULATION-NGẮN'!L3">
        <xdr:nvSpPr>
          <xdr:cNvPr id="46" name="Rectangle 45">
            <a:extLst>
              <a:ext uri="{FF2B5EF4-FFF2-40B4-BE49-F238E27FC236}">
                <a16:creationId xmlns:a16="http://schemas.microsoft.com/office/drawing/2014/main" id="{710F317F-A42A-4DF5-BFA4-E4119E375CD6}"/>
              </a:ext>
            </a:extLst>
          </xdr:cNvPr>
          <xdr:cNvSpPr/>
        </xdr:nvSpPr>
        <xdr:spPr>
          <a:xfrm>
            <a:off x="60005" y="2417838"/>
            <a:ext cx="2371726" cy="62865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CD51B636-6FE7-4B79-B6C1-D069C531BCE4}" type="TxLink">
              <a:rPr lang="en-US" sz="2000" b="1" i="0" u="none" strike="noStrike">
                <a:solidFill>
                  <a:schemeClr val="accent1">
                    <a:lumMod val="75000"/>
                  </a:schemeClr>
                </a:solidFill>
                <a:latin typeface="Arial Narrow" panose="020B0606020202030204" pitchFamily="34" charset="0"/>
                <a:cs typeface="Calibri"/>
              </a:rPr>
              <a:pPr algn="ctr"/>
              <a:t> 14,402,947,489 </a:t>
            </a:fld>
            <a:endParaRPr lang="en-US" sz="2000" b="1">
              <a:solidFill>
                <a:schemeClr val="accent1">
                  <a:lumMod val="75000"/>
                </a:schemeClr>
              </a:solidFill>
              <a:latin typeface="Arial Narrow" panose="020B0606020202030204" pitchFamily="34" charset="0"/>
            </a:endParaRPr>
          </a:p>
        </xdr:txBody>
      </xdr:sp>
    </xdr:grpSp>
    <xdr:clientData/>
  </xdr:twoCellAnchor>
  <xdr:twoCellAnchor>
    <xdr:from>
      <xdr:col>4</xdr:col>
      <xdr:colOff>48077</xdr:colOff>
      <xdr:row>10</xdr:row>
      <xdr:rowOff>38101</xdr:rowOff>
    </xdr:from>
    <xdr:to>
      <xdr:col>7</xdr:col>
      <xdr:colOff>508000</xdr:colOff>
      <xdr:row>15</xdr:row>
      <xdr:rowOff>180975</xdr:rowOff>
    </xdr:to>
    <xdr:grpSp>
      <xdr:nvGrpSpPr>
        <xdr:cNvPr id="55" name="Group 54">
          <a:extLst>
            <a:ext uri="{FF2B5EF4-FFF2-40B4-BE49-F238E27FC236}">
              <a16:creationId xmlns:a16="http://schemas.microsoft.com/office/drawing/2014/main" id="{706DAF7F-3735-A794-1DDD-0EFE8A23A931}"/>
            </a:ext>
          </a:extLst>
        </xdr:cNvPr>
        <xdr:cNvGrpSpPr/>
      </xdr:nvGrpSpPr>
      <xdr:grpSpPr>
        <a:xfrm>
          <a:off x="2624363" y="1861458"/>
          <a:ext cx="2392137" cy="1050017"/>
          <a:chOff x="2486856" y="1943101"/>
          <a:chExt cx="2371726" cy="1095374"/>
        </a:xfrm>
      </xdr:grpSpPr>
      <xdr:sp macro="" textlink="">
        <xdr:nvSpPr>
          <xdr:cNvPr id="53" name="Rectangle 52">
            <a:extLst>
              <a:ext uri="{FF2B5EF4-FFF2-40B4-BE49-F238E27FC236}">
                <a16:creationId xmlns:a16="http://schemas.microsoft.com/office/drawing/2014/main" id="{A3E61585-0BCE-47C7-BC35-84ECFB5389B8}"/>
              </a:ext>
            </a:extLst>
          </xdr:cNvPr>
          <xdr:cNvSpPr/>
        </xdr:nvSpPr>
        <xdr:spPr>
          <a:xfrm>
            <a:off x="2495549" y="1943101"/>
            <a:ext cx="2343151" cy="1095374"/>
          </a:xfrm>
          <a:prstGeom prst="rect">
            <a:avLst/>
          </a:prstGeom>
          <a:solidFill>
            <a:schemeClr val="accent6">
              <a:lumMod val="20000"/>
              <a:lumOff val="80000"/>
            </a:schemeClr>
          </a:solidFill>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t" anchorCtr="0" forceAA="0" compatLnSpc="1">
            <a:prstTxWarp prst="textNoShape">
              <a:avLst/>
            </a:prstTxWarp>
            <a:noAutofit/>
          </a:bodyPr>
          <a:lstStyle/>
          <a:p>
            <a:pPr marL="0" indent="0" algn="ctr"/>
            <a:r>
              <a:rPr lang="en-US" sz="2000" b="1" i="0" u="none" strike="noStrike">
                <a:solidFill>
                  <a:schemeClr val="accent1">
                    <a:lumMod val="75000"/>
                  </a:schemeClr>
                </a:solidFill>
                <a:latin typeface="UTM Bebas" panose="02040603050506020204" pitchFamily="18" charset="0"/>
                <a:ea typeface="+mn-ea"/>
                <a:cs typeface="Calibri"/>
              </a:rPr>
              <a:t>COST RATIO</a:t>
            </a:r>
          </a:p>
        </xdr:txBody>
      </xdr:sp>
      <xdr:sp macro="" textlink="'CALCULATION-NGẮN'!N3">
        <xdr:nvSpPr>
          <xdr:cNvPr id="43" name="Rectangle 42">
            <a:extLst>
              <a:ext uri="{FF2B5EF4-FFF2-40B4-BE49-F238E27FC236}">
                <a16:creationId xmlns:a16="http://schemas.microsoft.com/office/drawing/2014/main" id="{89ECEAA7-4DD5-4394-B893-D5D3698592C9}"/>
              </a:ext>
            </a:extLst>
          </xdr:cNvPr>
          <xdr:cNvSpPr/>
        </xdr:nvSpPr>
        <xdr:spPr>
          <a:xfrm>
            <a:off x="2486856" y="2398880"/>
            <a:ext cx="2371726" cy="638175"/>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ctr" anchorCtr="0" forceAA="0" compatLnSpc="1">
            <a:prstTxWarp prst="textNoShape">
              <a:avLst/>
            </a:prstTxWarp>
            <a:noAutofit/>
          </a:bodyPr>
          <a:lstStyle/>
          <a:p>
            <a:pPr marL="0" indent="0" algn="ctr"/>
            <a:fld id="{40F0F2E3-4426-4E14-A1DF-D7C5C6C171D1}" type="TxLink">
              <a:rPr lang="en-US" sz="2000" b="1" i="0" u="none" strike="noStrike">
                <a:solidFill>
                  <a:schemeClr val="accent1">
                    <a:lumMod val="75000"/>
                  </a:schemeClr>
                </a:solidFill>
                <a:latin typeface="Arial Narrow" panose="020B0606020202030204" pitchFamily="34" charset="0"/>
                <a:ea typeface="+mn-ea"/>
                <a:cs typeface="Calibri"/>
              </a:rPr>
              <a:pPr marL="0" indent="0" algn="ctr"/>
              <a:t>100%</a:t>
            </a:fld>
            <a:endParaRPr lang="en-US" sz="2000" b="1" i="0" u="none" strike="noStrike">
              <a:solidFill>
                <a:schemeClr val="accent1">
                  <a:lumMod val="75000"/>
                </a:schemeClr>
              </a:solidFill>
              <a:latin typeface="Arial Narrow" panose="020B0606020202030204" pitchFamily="34" charset="0"/>
              <a:ea typeface="+mn-ea"/>
              <a:cs typeface="Calibri"/>
            </a:endParaRPr>
          </a:p>
        </xdr:txBody>
      </xdr:sp>
    </xdr:grp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104775</xdr:colOff>
      <xdr:row>0</xdr:row>
      <xdr:rowOff>0</xdr:rowOff>
    </xdr:from>
    <xdr:to>
      <xdr:col>20</xdr:col>
      <xdr:colOff>95250</xdr:colOff>
      <xdr:row>3</xdr:row>
      <xdr:rowOff>85725</xdr:rowOff>
    </xdr:to>
    <xdr:sp macro="" textlink="">
      <xdr:nvSpPr>
        <xdr:cNvPr id="2" name="Rectangle 1">
          <a:extLst>
            <a:ext uri="{FF2B5EF4-FFF2-40B4-BE49-F238E27FC236}">
              <a16:creationId xmlns:a16="http://schemas.microsoft.com/office/drawing/2014/main" id="{FB2C5968-96A6-4F12-A42F-8BD2B7EAF442}"/>
            </a:ext>
          </a:extLst>
        </xdr:cNvPr>
        <xdr:cNvSpPr/>
      </xdr:nvSpPr>
      <xdr:spPr>
        <a:xfrm>
          <a:off x="104775" y="0"/>
          <a:ext cx="12274839" cy="639907"/>
        </a:xfrm>
        <a:prstGeom prst="rect">
          <a:avLst/>
        </a:prstGeom>
        <a:solidFill>
          <a:schemeClr val="accent4">
            <a:lumMod val="40000"/>
            <a:lumOff val="60000"/>
          </a:schemeClr>
        </a:solidFill>
        <a:ln>
          <a:solidFill>
            <a:sysClr val="windowText" lastClr="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3600">
              <a:solidFill>
                <a:schemeClr val="accent1">
                  <a:lumMod val="75000"/>
                </a:schemeClr>
              </a:solidFill>
              <a:latin typeface="UTM HelvetIns" panose="02040603050506020204" pitchFamily="18" charset="0"/>
            </a:rPr>
            <a:t>TRANSPORATION</a:t>
          </a:r>
          <a:r>
            <a:rPr lang="en-US" sz="3600" baseline="0">
              <a:solidFill>
                <a:schemeClr val="accent1">
                  <a:lumMod val="75000"/>
                </a:schemeClr>
              </a:solidFill>
              <a:latin typeface="UTM HelvetIns" panose="02040603050506020204" pitchFamily="18" charset="0"/>
            </a:rPr>
            <a:t> </a:t>
          </a:r>
          <a:r>
            <a:rPr lang="en-US" sz="3600">
              <a:solidFill>
                <a:schemeClr val="accent1">
                  <a:lumMod val="75000"/>
                </a:schemeClr>
              </a:solidFill>
              <a:latin typeface="UTM HelvetIns" panose="02040603050506020204" pitchFamily="18" charset="0"/>
            </a:rPr>
            <a:t>COST</a:t>
          </a:r>
          <a:r>
            <a:rPr lang="en-US" sz="3600" baseline="0">
              <a:solidFill>
                <a:schemeClr val="accent1">
                  <a:lumMod val="75000"/>
                </a:schemeClr>
              </a:solidFill>
              <a:latin typeface="UTM HelvetIns" panose="02040603050506020204" pitchFamily="18" charset="0"/>
            </a:rPr>
            <a:t> MONITORING - LONG ROUTE</a:t>
          </a:r>
          <a:endParaRPr lang="en-US" sz="3600">
            <a:solidFill>
              <a:schemeClr val="accent1">
                <a:lumMod val="75000"/>
              </a:schemeClr>
            </a:solidFill>
            <a:latin typeface="UTM HelvetIns" panose="02040603050506020204" pitchFamily="18" charset="0"/>
          </a:endParaRPr>
        </a:p>
      </xdr:txBody>
    </xdr:sp>
    <xdr:clientData/>
  </xdr:twoCellAnchor>
  <xdr:twoCellAnchor>
    <xdr:from>
      <xdr:col>0</xdr:col>
      <xdr:colOff>114300</xdr:colOff>
      <xdr:row>16</xdr:row>
      <xdr:rowOff>114299</xdr:rowOff>
    </xdr:from>
    <xdr:to>
      <xdr:col>7</xdr:col>
      <xdr:colOff>635000</xdr:colOff>
      <xdr:row>36</xdr:row>
      <xdr:rowOff>123824</xdr:rowOff>
    </xdr:to>
    <xdr:graphicFrame macro="">
      <xdr:nvGraphicFramePr>
        <xdr:cNvPr id="3" name="Chart 2">
          <a:extLst>
            <a:ext uri="{FF2B5EF4-FFF2-40B4-BE49-F238E27FC236}">
              <a16:creationId xmlns:a16="http://schemas.microsoft.com/office/drawing/2014/main" id="{FC13AC19-D99C-4B9E-8912-67F628D3BF5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114299</xdr:colOff>
      <xdr:row>10</xdr:row>
      <xdr:rowOff>19050</xdr:rowOff>
    </xdr:from>
    <xdr:to>
      <xdr:col>4</xdr:col>
      <xdr:colOff>47625</xdr:colOff>
      <xdr:row>15</xdr:row>
      <xdr:rowOff>160129</xdr:rowOff>
    </xdr:to>
    <xdr:grpSp>
      <xdr:nvGrpSpPr>
        <xdr:cNvPr id="10" name="Group 9">
          <a:extLst>
            <a:ext uri="{FF2B5EF4-FFF2-40B4-BE49-F238E27FC236}">
              <a16:creationId xmlns:a16="http://schemas.microsoft.com/office/drawing/2014/main" id="{99AA5682-DA76-3AB0-B9A7-C731C413363B}"/>
            </a:ext>
          </a:extLst>
        </xdr:cNvPr>
        <xdr:cNvGrpSpPr/>
      </xdr:nvGrpSpPr>
      <xdr:grpSpPr>
        <a:xfrm>
          <a:off x="114299" y="1842407"/>
          <a:ext cx="2509612" cy="1048222"/>
          <a:chOff x="38099" y="1924050"/>
          <a:chExt cx="2371727" cy="1093916"/>
        </a:xfrm>
      </xdr:grpSpPr>
      <xdr:sp macro="" textlink="">
        <xdr:nvSpPr>
          <xdr:cNvPr id="5" name="Rectangle 4">
            <a:extLst>
              <a:ext uri="{FF2B5EF4-FFF2-40B4-BE49-F238E27FC236}">
                <a16:creationId xmlns:a16="http://schemas.microsoft.com/office/drawing/2014/main" id="{DAE16BAD-3D4B-FE01-0B7D-817ED505F44A}"/>
              </a:ext>
            </a:extLst>
          </xdr:cNvPr>
          <xdr:cNvSpPr/>
        </xdr:nvSpPr>
        <xdr:spPr>
          <a:xfrm>
            <a:off x="38100" y="1924050"/>
            <a:ext cx="2371726" cy="1085850"/>
          </a:xfrm>
          <a:prstGeom prst="rect">
            <a:avLst/>
          </a:prstGeom>
          <a:solidFill>
            <a:schemeClr val="accent6">
              <a:lumMod val="20000"/>
              <a:lumOff val="8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2000" b="1" i="0" u="none" strike="noStrike">
                <a:solidFill>
                  <a:schemeClr val="accent5">
                    <a:lumMod val="50000"/>
                  </a:schemeClr>
                </a:solidFill>
                <a:latin typeface="UTM Bebas" panose="02040603050506020204" pitchFamily="18" charset="0"/>
                <a:cs typeface="Calibri"/>
              </a:rPr>
              <a:t>TOTAL</a:t>
            </a:r>
            <a:r>
              <a:rPr lang="en-US" sz="2000" b="1" i="0" u="none" strike="noStrike" baseline="0">
                <a:solidFill>
                  <a:schemeClr val="accent5">
                    <a:lumMod val="50000"/>
                  </a:schemeClr>
                </a:solidFill>
                <a:latin typeface="UTM Bebas" panose="02040603050506020204" pitchFamily="18" charset="0"/>
                <a:cs typeface="Calibri"/>
              </a:rPr>
              <a:t> COST</a:t>
            </a:r>
            <a:endParaRPr lang="en-US" sz="2000" b="1" i="0" u="none" strike="noStrike">
              <a:solidFill>
                <a:schemeClr val="accent5">
                  <a:lumMod val="50000"/>
                </a:schemeClr>
              </a:solidFill>
              <a:latin typeface="UTM Bebas" panose="02040603050506020204" pitchFamily="18" charset="0"/>
              <a:cs typeface="Calibri"/>
            </a:endParaRPr>
          </a:p>
        </xdr:txBody>
      </xdr:sp>
      <xdr:sp macro="" textlink="'CALCULATION- DÀI'!$J$3">
        <xdr:nvSpPr>
          <xdr:cNvPr id="6" name="Rectangle 5">
            <a:extLst>
              <a:ext uri="{FF2B5EF4-FFF2-40B4-BE49-F238E27FC236}">
                <a16:creationId xmlns:a16="http://schemas.microsoft.com/office/drawing/2014/main" id="{06AA2EF5-8B36-C55C-E27D-5BD3BCBC0DD9}"/>
              </a:ext>
            </a:extLst>
          </xdr:cNvPr>
          <xdr:cNvSpPr/>
        </xdr:nvSpPr>
        <xdr:spPr>
          <a:xfrm>
            <a:off x="38099" y="2389316"/>
            <a:ext cx="1880919" cy="62865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ctr" anchorCtr="0" forceAA="0" compatLnSpc="1">
            <a:prstTxWarp prst="textNoShape">
              <a:avLst/>
            </a:prstTxWarp>
            <a:noAutofit/>
          </a:bodyPr>
          <a:lstStyle/>
          <a:p>
            <a:pPr marL="0" indent="0" algn="ctr"/>
            <a:fld id="{8EF1FC20-6132-4110-B5E9-DD04459D8F04}" type="TxLink">
              <a:rPr lang="en-US" sz="2000" b="1" i="0" u="none" strike="noStrike">
                <a:solidFill>
                  <a:schemeClr val="accent5">
                    <a:lumMod val="50000"/>
                  </a:schemeClr>
                </a:solidFill>
                <a:latin typeface="Arial Narrow" panose="020B0606020202030204" pitchFamily="34" charset="0"/>
                <a:ea typeface="+mn-ea"/>
                <a:cs typeface="Calibri"/>
              </a:rPr>
              <a:pPr marL="0" indent="0" algn="ctr"/>
              <a:t> 2,666,148,970 </a:t>
            </a:fld>
            <a:endParaRPr lang="en-US" sz="2000" b="1" i="0" u="none" strike="noStrike">
              <a:solidFill>
                <a:schemeClr val="accent5">
                  <a:lumMod val="50000"/>
                </a:schemeClr>
              </a:solidFill>
              <a:latin typeface="Arial Narrow" panose="020B0606020202030204" pitchFamily="34" charset="0"/>
              <a:ea typeface="+mn-ea"/>
              <a:cs typeface="Calibri"/>
            </a:endParaRPr>
          </a:p>
        </xdr:txBody>
      </xdr:sp>
    </xdr:grpSp>
    <xdr:clientData/>
  </xdr:twoCellAnchor>
  <xdr:twoCellAnchor>
    <xdr:from>
      <xdr:col>4</xdr:col>
      <xdr:colOff>94795</xdr:colOff>
      <xdr:row>10</xdr:row>
      <xdr:rowOff>46266</xdr:rowOff>
    </xdr:from>
    <xdr:to>
      <xdr:col>8</xdr:col>
      <xdr:colOff>18143</xdr:colOff>
      <xdr:row>16</xdr:row>
      <xdr:rowOff>24493</xdr:rowOff>
    </xdr:to>
    <xdr:grpSp>
      <xdr:nvGrpSpPr>
        <xdr:cNvPr id="11" name="Group 10">
          <a:extLst>
            <a:ext uri="{FF2B5EF4-FFF2-40B4-BE49-F238E27FC236}">
              <a16:creationId xmlns:a16="http://schemas.microsoft.com/office/drawing/2014/main" id="{5111086C-C0D5-4FDB-C762-FCBFA8B7EBE3}"/>
            </a:ext>
          </a:extLst>
        </xdr:cNvPr>
        <xdr:cNvGrpSpPr/>
      </xdr:nvGrpSpPr>
      <xdr:grpSpPr>
        <a:xfrm>
          <a:off x="2671081" y="1869623"/>
          <a:ext cx="2499633" cy="1066799"/>
          <a:chOff x="2447924" y="1924051"/>
          <a:chExt cx="2380299" cy="1112880"/>
        </a:xfrm>
      </xdr:grpSpPr>
      <xdr:sp macro="" textlink="">
        <xdr:nvSpPr>
          <xdr:cNvPr id="8" name="Rectangle 7">
            <a:extLst>
              <a:ext uri="{FF2B5EF4-FFF2-40B4-BE49-F238E27FC236}">
                <a16:creationId xmlns:a16="http://schemas.microsoft.com/office/drawing/2014/main" id="{66E56CC0-EA87-833B-A431-9FCE2F62FDF9}"/>
              </a:ext>
            </a:extLst>
          </xdr:cNvPr>
          <xdr:cNvSpPr/>
        </xdr:nvSpPr>
        <xdr:spPr>
          <a:xfrm>
            <a:off x="2447924" y="1924051"/>
            <a:ext cx="2343151" cy="1095374"/>
          </a:xfrm>
          <a:prstGeom prst="rect">
            <a:avLst/>
          </a:prstGeom>
          <a:solidFill>
            <a:schemeClr val="accent6">
              <a:lumMod val="20000"/>
              <a:lumOff val="80000"/>
            </a:schemeClr>
          </a:solidFill>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t" anchorCtr="0" forceAA="0" compatLnSpc="1">
            <a:prstTxWarp prst="textNoShape">
              <a:avLst/>
            </a:prstTxWarp>
            <a:noAutofit/>
          </a:bodyPr>
          <a:lstStyle/>
          <a:p>
            <a:pPr marL="0" indent="0" algn="ctr"/>
            <a:r>
              <a:rPr lang="en-US" sz="2000" b="0" i="0" u="none" strike="noStrike">
                <a:solidFill>
                  <a:schemeClr val="accent5">
                    <a:lumMod val="50000"/>
                  </a:schemeClr>
                </a:solidFill>
                <a:latin typeface="UTM Bebas" panose="02040603050506020204" pitchFamily="18" charset="0"/>
                <a:ea typeface="+mn-ea"/>
                <a:cs typeface="Calibri"/>
              </a:rPr>
              <a:t>COST RATIO</a:t>
            </a:r>
          </a:p>
        </xdr:txBody>
      </xdr:sp>
      <xdr:sp macro="" textlink="'CALCULATION- DÀI'!$L$3">
        <xdr:nvSpPr>
          <xdr:cNvPr id="9" name="Rectangle 8">
            <a:extLst>
              <a:ext uri="{FF2B5EF4-FFF2-40B4-BE49-F238E27FC236}">
                <a16:creationId xmlns:a16="http://schemas.microsoft.com/office/drawing/2014/main" id="{EC945D90-C564-1A3E-682D-00C24A71D1D5}"/>
              </a:ext>
            </a:extLst>
          </xdr:cNvPr>
          <xdr:cNvSpPr/>
        </xdr:nvSpPr>
        <xdr:spPr>
          <a:xfrm>
            <a:off x="2456497" y="2398756"/>
            <a:ext cx="2371726" cy="638175"/>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ctr" anchorCtr="0" forceAA="0" compatLnSpc="1">
            <a:prstTxWarp prst="textNoShape">
              <a:avLst/>
            </a:prstTxWarp>
            <a:noAutofit/>
          </a:bodyPr>
          <a:lstStyle/>
          <a:p>
            <a:pPr marL="0" indent="0" algn="ctr"/>
            <a:fld id="{1AD8F09E-3646-454F-A5EB-1551B6806653}" type="TxLink">
              <a:rPr lang="en-US" sz="2400" b="1" i="0" u="none" strike="noStrike">
                <a:solidFill>
                  <a:schemeClr val="accent5">
                    <a:lumMod val="50000"/>
                  </a:schemeClr>
                </a:solidFill>
                <a:latin typeface="Arial Narrow" panose="020B0606020202030204" pitchFamily="34" charset="0"/>
                <a:ea typeface="+mn-ea"/>
                <a:cs typeface="Calibri"/>
              </a:rPr>
              <a:pPr marL="0" indent="0" algn="ctr"/>
              <a:t>100%</a:t>
            </a:fld>
            <a:endParaRPr lang="en-US" sz="2400" b="1" i="0" u="none" strike="noStrike">
              <a:solidFill>
                <a:schemeClr val="accent5">
                  <a:lumMod val="50000"/>
                </a:schemeClr>
              </a:solidFill>
              <a:latin typeface="Arial Narrow" panose="020B0606020202030204" pitchFamily="34" charset="0"/>
              <a:ea typeface="+mn-ea"/>
              <a:cs typeface="Calibri"/>
            </a:endParaRPr>
          </a:p>
        </xdr:txBody>
      </xdr:sp>
    </xdr:grpSp>
    <xdr:clientData/>
  </xdr:twoCellAnchor>
  <xdr:twoCellAnchor editAs="oneCell">
    <xdr:from>
      <xdr:col>0</xdr:col>
      <xdr:colOff>114300</xdr:colOff>
      <xdr:row>3</xdr:row>
      <xdr:rowOff>104776</xdr:rowOff>
    </xdr:from>
    <xdr:to>
      <xdr:col>4</xdr:col>
      <xdr:colOff>34636</xdr:colOff>
      <xdr:row>9</xdr:row>
      <xdr:rowOff>161925</xdr:rowOff>
    </xdr:to>
    <mc:AlternateContent xmlns:mc="http://schemas.openxmlformats.org/markup-compatibility/2006" xmlns:a14="http://schemas.microsoft.com/office/drawing/2010/main">
      <mc:Choice Requires="a14">
        <xdr:graphicFrame macro="">
          <xdr:nvGraphicFramePr>
            <xdr:cNvPr id="12" name="Chi nhánh 1">
              <a:extLst>
                <a:ext uri="{FF2B5EF4-FFF2-40B4-BE49-F238E27FC236}">
                  <a16:creationId xmlns:a16="http://schemas.microsoft.com/office/drawing/2014/main" id="{910E7BCD-37B8-4AC4-97B3-6C31B3A85605}"/>
                </a:ext>
              </a:extLst>
            </xdr:cNvPr>
            <xdr:cNvGraphicFramePr/>
          </xdr:nvGraphicFramePr>
          <xdr:xfrm>
            <a:off x="0" y="0"/>
            <a:ext cx="0" cy="0"/>
          </xdr:xfrm>
          <a:graphic>
            <a:graphicData uri="http://schemas.microsoft.com/office/drawing/2010/slicer">
              <sle:slicer xmlns:sle="http://schemas.microsoft.com/office/drawing/2010/slicer" name="Chi nhánh 1"/>
            </a:graphicData>
          </a:graphic>
        </xdr:graphicFrame>
      </mc:Choice>
      <mc:Fallback xmlns="">
        <xdr:sp macro="" textlink="">
          <xdr:nvSpPr>
            <xdr:cNvPr id="0" name=""/>
            <xdr:cNvSpPr>
              <a:spLocks noTextEdit="1"/>
            </xdr:cNvSpPr>
          </xdr:nvSpPr>
          <xdr:spPr>
            <a:xfrm>
              <a:off x="114300" y="676276"/>
              <a:ext cx="2362200" cy="120015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4</xdr:col>
      <xdr:colOff>80818</xdr:colOff>
      <xdr:row>3</xdr:row>
      <xdr:rowOff>104776</xdr:rowOff>
    </xdr:from>
    <xdr:to>
      <xdr:col>8</xdr:col>
      <xdr:colOff>0</xdr:colOff>
      <xdr:row>9</xdr:row>
      <xdr:rowOff>180975</xdr:rowOff>
    </xdr:to>
    <mc:AlternateContent xmlns:mc="http://schemas.openxmlformats.org/markup-compatibility/2006" xmlns:a14="http://schemas.microsoft.com/office/drawing/2010/main">
      <mc:Choice Requires="a14">
        <xdr:graphicFrame macro="">
          <xdr:nvGraphicFramePr>
            <xdr:cNvPr id="13" name="Tháng 2">
              <a:extLst>
                <a:ext uri="{FF2B5EF4-FFF2-40B4-BE49-F238E27FC236}">
                  <a16:creationId xmlns:a16="http://schemas.microsoft.com/office/drawing/2014/main" id="{4FB58294-A3C3-425C-AE9E-C58320390AB4}"/>
                </a:ext>
              </a:extLst>
            </xdr:cNvPr>
            <xdr:cNvGraphicFramePr/>
          </xdr:nvGraphicFramePr>
          <xdr:xfrm>
            <a:off x="0" y="0"/>
            <a:ext cx="0" cy="0"/>
          </xdr:xfrm>
          <a:graphic>
            <a:graphicData uri="http://schemas.microsoft.com/office/drawing/2010/slicer">
              <sle:slicer xmlns:sle="http://schemas.microsoft.com/office/drawing/2010/slicer" name="Tháng 2"/>
            </a:graphicData>
          </a:graphic>
        </xdr:graphicFrame>
      </mc:Choice>
      <mc:Fallback xmlns="">
        <xdr:sp macro="" textlink="">
          <xdr:nvSpPr>
            <xdr:cNvPr id="0" name=""/>
            <xdr:cNvSpPr>
              <a:spLocks noTextEdit="1"/>
            </xdr:cNvSpPr>
          </xdr:nvSpPr>
          <xdr:spPr>
            <a:xfrm>
              <a:off x="2514599" y="676276"/>
              <a:ext cx="2352675" cy="12192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11</xdr:col>
      <xdr:colOff>504825</xdr:colOff>
      <xdr:row>20</xdr:row>
      <xdr:rowOff>161925</xdr:rowOff>
    </xdr:from>
    <xdr:to>
      <xdr:col>20</xdr:col>
      <xdr:colOff>38100</xdr:colOff>
      <xdr:row>36</xdr:row>
      <xdr:rowOff>142874</xdr:rowOff>
    </xdr:to>
    <xdr:graphicFrame macro="">
      <xdr:nvGraphicFramePr>
        <xdr:cNvPr id="14" name="Chart 13">
          <a:extLst>
            <a:ext uri="{FF2B5EF4-FFF2-40B4-BE49-F238E27FC236}">
              <a16:creationId xmlns:a16="http://schemas.microsoft.com/office/drawing/2014/main" id="{0D0997E6-664E-49FC-AB58-9E10C383062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9</xdr:col>
      <xdr:colOff>180975</xdr:colOff>
      <xdr:row>13</xdr:row>
      <xdr:rowOff>104774</xdr:rowOff>
    </xdr:from>
    <xdr:to>
      <xdr:col>11</xdr:col>
      <xdr:colOff>371475</xdr:colOff>
      <xdr:row>22</xdr:row>
      <xdr:rowOff>114300</xdr:rowOff>
    </xdr:to>
    <mc:AlternateContent xmlns:mc="http://schemas.openxmlformats.org/markup-compatibility/2006" xmlns:a14="http://schemas.microsoft.com/office/drawing/2010/main">
      <mc:Choice Requires="a14">
        <xdr:graphicFrame macro="">
          <xdr:nvGraphicFramePr>
            <xdr:cNvPr id="15" name="Chi nhánh 3">
              <a:extLst>
                <a:ext uri="{FF2B5EF4-FFF2-40B4-BE49-F238E27FC236}">
                  <a16:creationId xmlns:a16="http://schemas.microsoft.com/office/drawing/2014/main" id="{8D24E1C1-334D-4CD5-881E-1F5E12EE070F}"/>
                </a:ext>
              </a:extLst>
            </xdr:cNvPr>
            <xdr:cNvGraphicFramePr/>
          </xdr:nvGraphicFramePr>
          <xdr:xfrm>
            <a:off x="0" y="0"/>
            <a:ext cx="0" cy="0"/>
          </xdr:xfrm>
          <a:graphic>
            <a:graphicData uri="http://schemas.microsoft.com/office/drawing/2010/slicer">
              <sle:slicer xmlns:sle="http://schemas.microsoft.com/office/drawing/2010/slicer" name="Chi nhánh 3"/>
            </a:graphicData>
          </a:graphic>
        </xdr:graphicFrame>
      </mc:Choice>
      <mc:Fallback xmlns="">
        <xdr:sp macro="" textlink="">
          <xdr:nvSpPr>
            <xdr:cNvPr id="0" name=""/>
            <xdr:cNvSpPr>
              <a:spLocks noTextEdit="1"/>
            </xdr:cNvSpPr>
          </xdr:nvSpPr>
          <xdr:spPr>
            <a:xfrm>
              <a:off x="5057775" y="2581274"/>
              <a:ext cx="1409700" cy="17240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9</xdr:col>
      <xdr:colOff>180975</xdr:colOff>
      <xdr:row>3</xdr:row>
      <xdr:rowOff>114300</xdr:rowOff>
    </xdr:from>
    <xdr:to>
      <xdr:col>11</xdr:col>
      <xdr:colOff>371475</xdr:colOff>
      <xdr:row>13</xdr:row>
      <xdr:rowOff>9524</xdr:rowOff>
    </xdr:to>
    <mc:AlternateContent xmlns:mc="http://schemas.openxmlformats.org/markup-compatibility/2006" xmlns:a14="http://schemas.microsoft.com/office/drawing/2010/main">
      <mc:Choice Requires="a14">
        <xdr:graphicFrame macro="">
          <xdr:nvGraphicFramePr>
            <xdr:cNvPr id="16" name="Tháng 3">
              <a:extLst>
                <a:ext uri="{FF2B5EF4-FFF2-40B4-BE49-F238E27FC236}">
                  <a16:creationId xmlns:a16="http://schemas.microsoft.com/office/drawing/2014/main" id="{75A5C8FD-9285-4EA6-B1FC-5B093202B40B}"/>
                </a:ext>
              </a:extLst>
            </xdr:cNvPr>
            <xdr:cNvGraphicFramePr/>
          </xdr:nvGraphicFramePr>
          <xdr:xfrm>
            <a:off x="0" y="0"/>
            <a:ext cx="0" cy="0"/>
          </xdr:xfrm>
          <a:graphic>
            <a:graphicData uri="http://schemas.microsoft.com/office/drawing/2010/slicer">
              <sle:slicer xmlns:sle="http://schemas.microsoft.com/office/drawing/2010/slicer" name="Tháng 3"/>
            </a:graphicData>
          </a:graphic>
        </xdr:graphicFrame>
      </mc:Choice>
      <mc:Fallback xmlns="">
        <xdr:sp macro="" textlink="">
          <xdr:nvSpPr>
            <xdr:cNvPr id="0" name=""/>
            <xdr:cNvSpPr>
              <a:spLocks noTextEdit="1"/>
            </xdr:cNvSpPr>
          </xdr:nvSpPr>
          <xdr:spPr>
            <a:xfrm>
              <a:off x="5057775" y="685800"/>
              <a:ext cx="1409700" cy="18002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9</xdr:col>
      <xdr:colOff>152400</xdr:colOff>
      <xdr:row>23</xdr:row>
      <xdr:rowOff>76200</xdr:rowOff>
    </xdr:from>
    <xdr:to>
      <xdr:col>11</xdr:col>
      <xdr:colOff>371476</xdr:colOff>
      <xdr:row>29</xdr:row>
      <xdr:rowOff>1</xdr:rowOff>
    </xdr:to>
    <xdr:grpSp>
      <xdr:nvGrpSpPr>
        <xdr:cNvPr id="25" name="Group 24">
          <a:extLst>
            <a:ext uri="{FF2B5EF4-FFF2-40B4-BE49-F238E27FC236}">
              <a16:creationId xmlns:a16="http://schemas.microsoft.com/office/drawing/2014/main" id="{DFD7E62A-3F5E-CA92-E532-9BAC51ABEE50}"/>
            </a:ext>
          </a:extLst>
        </xdr:cNvPr>
        <xdr:cNvGrpSpPr/>
      </xdr:nvGrpSpPr>
      <xdr:grpSpPr>
        <a:xfrm>
          <a:off x="5468257" y="4258129"/>
          <a:ext cx="1507219" cy="1012372"/>
          <a:chOff x="5029200" y="4457700"/>
          <a:chExt cx="1438276" cy="1066801"/>
        </a:xfrm>
      </xdr:grpSpPr>
      <xdr:sp macro="" textlink="">
        <xdr:nvSpPr>
          <xdr:cNvPr id="18" name="Rectangle 17">
            <a:extLst>
              <a:ext uri="{FF2B5EF4-FFF2-40B4-BE49-F238E27FC236}">
                <a16:creationId xmlns:a16="http://schemas.microsoft.com/office/drawing/2014/main" id="{1D88817C-C138-2A57-8427-45152FA8D680}"/>
              </a:ext>
            </a:extLst>
          </xdr:cNvPr>
          <xdr:cNvSpPr/>
        </xdr:nvSpPr>
        <xdr:spPr>
          <a:xfrm>
            <a:off x="5029200" y="4457700"/>
            <a:ext cx="1409700" cy="981326"/>
          </a:xfrm>
          <a:prstGeom prst="rect">
            <a:avLst/>
          </a:prstGeom>
          <a:solidFill>
            <a:schemeClr val="accent6">
              <a:lumMod val="20000"/>
              <a:lumOff val="80000"/>
            </a:schemeClr>
          </a:solidFill>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ctr" anchorCtr="0" forceAA="0" compatLnSpc="1">
            <a:prstTxWarp prst="textNoShape">
              <a:avLst/>
            </a:prstTxWarp>
            <a:noAutofit/>
          </a:bodyPr>
          <a:lstStyle/>
          <a:p>
            <a:pPr marL="0" indent="0" algn="ctr"/>
            <a:r>
              <a:rPr lang="en-US" sz="1800" b="0" i="0" u="none" strike="noStrike">
                <a:solidFill>
                  <a:schemeClr val="accent5">
                    <a:lumMod val="50000"/>
                  </a:schemeClr>
                </a:solidFill>
                <a:latin typeface="UTM Bebas" panose="02040603050506020204" pitchFamily="18" charset="0"/>
                <a:ea typeface="+mn-ea"/>
                <a:cs typeface="Calibri"/>
              </a:rPr>
              <a:t>VENDORS</a:t>
            </a:r>
          </a:p>
          <a:p>
            <a:pPr marL="0" indent="0" algn="ctr"/>
            <a:endParaRPr lang="en-US" sz="1600" b="0" i="0" u="none" strike="noStrike">
              <a:solidFill>
                <a:schemeClr val="accent5">
                  <a:lumMod val="50000"/>
                </a:schemeClr>
              </a:solidFill>
              <a:latin typeface="UTM Bebas" panose="02040603050506020204" pitchFamily="18" charset="0"/>
              <a:ea typeface="+mn-ea"/>
              <a:cs typeface="Calibri"/>
            </a:endParaRPr>
          </a:p>
        </xdr:txBody>
      </xdr:sp>
      <xdr:sp macro="" textlink="'CALCULATION- DÀI'!K3">
        <xdr:nvSpPr>
          <xdr:cNvPr id="19" name="Rectangle 18">
            <a:extLst>
              <a:ext uri="{FF2B5EF4-FFF2-40B4-BE49-F238E27FC236}">
                <a16:creationId xmlns:a16="http://schemas.microsoft.com/office/drawing/2014/main" id="{C36DEB5F-07E1-3CF3-5096-483F42336766}"/>
              </a:ext>
            </a:extLst>
          </xdr:cNvPr>
          <xdr:cNvSpPr/>
        </xdr:nvSpPr>
        <xdr:spPr>
          <a:xfrm>
            <a:off x="5057776" y="4791327"/>
            <a:ext cx="1409700" cy="733174"/>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ctr" anchorCtr="0" forceAA="0" compatLnSpc="1">
            <a:prstTxWarp prst="textNoShape">
              <a:avLst/>
            </a:prstTxWarp>
            <a:noAutofit/>
          </a:bodyPr>
          <a:lstStyle/>
          <a:p>
            <a:pPr marL="0" indent="0" algn="ctr"/>
            <a:fld id="{A1225D06-FB8B-49FA-AE04-7F636DA4E7E0}" type="TxLink">
              <a:rPr lang="en-US" sz="3200" b="1" i="0" u="none" strike="noStrike">
                <a:solidFill>
                  <a:schemeClr val="accent5">
                    <a:lumMod val="50000"/>
                  </a:schemeClr>
                </a:solidFill>
                <a:latin typeface="UTM Bebas" panose="02040603050506020204" pitchFamily="18" charset="0"/>
                <a:ea typeface="+mn-ea"/>
                <a:cs typeface="Calibri"/>
              </a:rPr>
              <a:pPr marL="0" indent="0" algn="ctr"/>
              <a:t>5</a:t>
            </a:fld>
            <a:endParaRPr lang="en-US" sz="3200" b="1" i="0" u="none" strike="noStrike">
              <a:solidFill>
                <a:schemeClr val="accent5">
                  <a:lumMod val="50000"/>
                </a:schemeClr>
              </a:solidFill>
              <a:latin typeface="UTM Bebas" panose="02040603050506020204" pitchFamily="18" charset="0"/>
              <a:ea typeface="+mn-ea"/>
              <a:cs typeface="Calibri"/>
            </a:endParaRPr>
          </a:p>
        </xdr:txBody>
      </xdr:sp>
    </xdr:grpSp>
    <xdr:clientData/>
  </xdr:twoCellAnchor>
  <xdr:twoCellAnchor>
    <xdr:from>
      <xdr:col>9</xdr:col>
      <xdr:colOff>133350</xdr:colOff>
      <xdr:row>29</xdr:row>
      <xdr:rowOff>28576</xdr:rowOff>
    </xdr:from>
    <xdr:to>
      <xdr:col>11</xdr:col>
      <xdr:colOff>400051</xdr:colOff>
      <xdr:row>34</xdr:row>
      <xdr:rowOff>152401</xdr:rowOff>
    </xdr:to>
    <xdr:grpSp>
      <xdr:nvGrpSpPr>
        <xdr:cNvPr id="26" name="Group 25">
          <a:extLst>
            <a:ext uri="{FF2B5EF4-FFF2-40B4-BE49-F238E27FC236}">
              <a16:creationId xmlns:a16="http://schemas.microsoft.com/office/drawing/2014/main" id="{86114BB0-6E47-4C38-FB63-F798DCFFABD9}"/>
            </a:ext>
          </a:extLst>
        </xdr:cNvPr>
        <xdr:cNvGrpSpPr/>
      </xdr:nvGrpSpPr>
      <xdr:grpSpPr>
        <a:xfrm>
          <a:off x="5449207" y="5299076"/>
          <a:ext cx="1554844" cy="1030968"/>
          <a:chOff x="5010150" y="5553076"/>
          <a:chExt cx="1485901" cy="1076325"/>
        </a:xfrm>
      </xdr:grpSpPr>
      <xdr:sp macro="" textlink="">
        <xdr:nvSpPr>
          <xdr:cNvPr id="21" name="Rectangle 20">
            <a:extLst>
              <a:ext uri="{FF2B5EF4-FFF2-40B4-BE49-F238E27FC236}">
                <a16:creationId xmlns:a16="http://schemas.microsoft.com/office/drawing/2014/main" id="{CAD5FE2D-B6BA-BF3B-6F04-81C72E0CFC10}"/>
              </a:ext>
            </a:extLst>
          </xdr:cNvPr>
          <xdr:cNvSpPr/>
        </xdr:nvSpPr>
        <xdr:spPr>
          <a:xfrm>
            <a:off x="5010150" y="5553076"/>
            <a:ext cx="1428750" cy="990599"/>
          </a:xfrm>
          <a:prstGeom prst="rect">
            <a:avLst/>
          </a:prstGeom>
          <a:solidFill>
            <a:schemeClr val="accent6">
              <a:lumMod val="20000"/>
              <a:lumOff val="80000"/>
            </a:schemeClr>
          </a:solidFill>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ctr" anchorCtr="0" forceAA="0" compatLnSpc="1">
            <a:prstTxWarp prst="textNoShape">
              <a:avLst/>
            </a:prstTxWarp>
            <a:noAutofit/>
          </a:bodyPr>
          <a:lstStyle/>
          <a:p>
            <a:pPr marL="0" indent="0" algn="ctr"/>
            <a:r>
              <a:rPr lang="en-US" sz="1800" b="0" i="0" u="none" strike="noStrike">
                <a:solidFill>
                  <a:schemeClr val="accent5">
                    <a:lumMod val="50000"/>
                  </a:schemeClr>
                </a:solidFill>
                <a:latin typeface="UTM Bebas" panose="02040603050506020204" pitchFamily="18" charset="0"/>
                <a:ea typeface="+mn-ea"/>
                <a:cs typeface="Calibri"/>
              </a:rPr>
              <a:t>AVG</a:t>
            </a:r>
            <a:r>
              <a:rPr lang="en-US" sz="1800" b="0" i="0" u="none" strike="noStrike" baseline="0">
                <a:solidFill>
                  <a:schemeClr val="accent5">
                    <a:lumMod val="50000"/>
                  </a:schemeClr>
                </a:solidFill>
                <a:latin typeface="UTM Bebas" panose="02040603050506020204" pitchFamily="18" charset="0"/>
                <a:ea typeface="+mn-ea"/>
                <a:cs typeface="Calibri"/>
              </a:rPr>
              <a:t> KPI</a:t>
            </a:r>
            <a:endParaRPr lang="en-US" sz="1600" b="0" i="0" u="none" strike="noStrike" baseline="0">
              <a:solidFill>
                <a:schemeClr val="accent5">
                  <a:lumMod val="50000"/>
                </a:schemeClr>
              </a:solidFill>
              <a:latin typeface="UTM Bebas" panose="02040603050506020204" pitchFamily="18" charset="0"/>
              <a:ea typeface="+mn-ea"/>
              <a:cs typeface="Calibri"/>
            </a:endParaRPr>
          </a:p>
          <a:p>
            <a:pPr marL="0" indent="0" algn="ctr"/>
            <a:endParaRPr lang="en-US" sz="1800" b="0" i="0" u="none" strike="noStrike">
              <a:solidFill>
                <a:schemeClr val="accent5">
                  <a:lumMod val="50000"/>
                </a:schemeClr>
              </a:solidFill>
              <a:latin typeface="UTM Bebas" panose="02040603050506020204" pitchFamily="18" charset="0"/>
              <a:ea typeface="+mn-ea"/>
              <a:cs typeface="Calibri"/>
            </a:endParaRPr>
          </a:p>
        </xdr:txBody>
      </xdr:sp>
      <xdr:sp macro="" textlink="'CALCULATION- DÀI'!M3">
        <xdr:nvSpPr>
          <xdr:cNvPr id="22" name="Rectangle 21">
            <a:extLst>
              <a:ext uri="{FF2B5EF4-FFF2-40B4-BE49-F238E27FC236}">
                <a16:creationId xmlns:a16="http://schemas.microsoft.com/office/drawing/2014/main" id="{EC031DEB-A0EE-6203-850D-6B064523F72B}"/>
              </a:ext>
            </a:extLst>
          </xdr:cNvPr>
          <xdr:cNvSpPr/>
        </xdr:nvSpPr>
        <xdr:spPr>
          <a:xfrm>
            <a:off x="5057775" y="5981701"/>
            <a:ext cx="1438276" cy="64770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ctr" anchorCtr="0" forceAA="0" compatLnSpc="1">
            <a:prstTxWarp prst="textNoShape">
              <a:avLst/>
            </a:prstTxWarp>
            <a:noAutofit/>
          </a:bodyPr>
          <a:lstStyle/>
          <a:p>
            <a:pPr marL="0" indent="0" algn="ctr"/>
            <a:fld id="{3C4BD924-64D0-4910-A683-EB9B9CA998CA}" type="TxLink">
              <a:rPr lang="en-US" sz="2400" b="1" i="0" u="none" strike="noStrike">
                <a:solidFill>
                  <a:schemeClr val="accent5">
                    <a:lumMod val="50000"/>
                  </a:schemeClr>
                </a:solidFill>
                <a:latin typeface="UTM Bebas" panose="02040603050506020204" pitchFamily="18" charset="0"/>
                <a:ea typeface="+mn-ea"/>
                <a:cs typeface="Calibri"/>
              </a:rPr>
              <a:pPr marL="0" indent="0" algn="ctr"/>
              <a:t>98.87%</a:t>
            </a:fld>
            <a:endParaRPr lang="en-US" sz="2400" b="1" i="0" u="none" strike="noStrike">
              <a:solidFill>
                <a:schemeClr val="accent5">
                  <a:lumMod val="50000"/>
                </a:schemeClr>
              </a:solidFill>
              <a:latin typeface="UTM Bebas" panose="02040603050506020204" pitchFamily="18" charset="0"/>
              <a:ea typeface="+mn-ea"/>
              <a:cs typeface="Calibri"/>
            </a:endParaRPr>
          </a:p>
        </xdr:txBody>
      </xdr:sp>
    </xdr:grpSp>
    <xdr:clientData/>
  </xdr:twoCellAnchor>
  <xdr:twoCellAnchor>
    <xdr:from>
      <xdr:col>11</xdr:col>
      <xdr:colOff>504823</xdr:colOff>
      <xdr:row>4</xdr:row>
      <xdr:rowOff>95250</xdr:rowOff>
    </xdr:from>
    <xdr:to>
      <xdr:col>20</xdr:col>
      <xdr:colOff>72571</xdr:colOff>
      <xdr:row>19</xdr:row>
      <xdr:rowOff>142875</xdr:rowOff>
    </xdr:to>
    <xdr:graphicFrame macro="">
      <xdr:nvGraphicFramePr>
        <xdr:cNvPr id="23" name="Chart 22">
          <a:extLst>
            <a:ext uri="{FF2B5EF4-FFF2-40B4-BE49-F238E27FC236}">
              <a16:creationId xmlns:a16="http://schemas.microsoft.com/office/drawing/2014/main" id="{F4AC8914-85C3-40F2-A50B-544F4312411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xdr:col>
      <xdr:colOff>607785</xdr:colOff>
      <xdr:row>13</xdr:row>
      <xdr:rowOff>36287</xdr:rowOff>
    </xdr:from>
    <xdr:to>
      <xdr:col>4</xdr:col>
      <xdr:colOff>45356</xdr:colOff>
      <xdr:row>15</xdr:row>
      <xdr:rowOff>54429</xdr:rowOff>
    </xdr:to>
    <xdr:sp macro="" textlink="">
      <xdr:nvSpPr>
        <xdr:cNvPr id="7" name="TextBox 6">
          <a:extLst>
            <a:ext uri="{FF2B5EF4-FFF2-40B4-BE49-F238E27FC236}">
              <a16:creationId xmlns:a16="http://schemas.microsoft.com/office/drawing/2014/main" id="{0D1C8F92-0896-BAF4-58D9-91EE19038038}"/>
            </a:ext>
          </a:extLst>
        </xdr:cNvPr>
        <xdr:cNvSpPr txBox="1"/>
      </xdr:nvSpPr>
      <xdr:spPr>
        <a:xfrm>
          <a:off x="1895928" y="2394858"/>
          <a:ext cx="725714" cy="381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2000" b="1">
              <a:solidFill>
                <a:schemeClr val="accent5">
                  <a:lumMod val="50000"/>
                </a:schemeClr>
              </a:solidFill>
              <a:latin typeface="Arial Narrow" panose="020B0606020202030204" pitchFamily="34" charset="0"/>
            </a:rPr>
            <a:t>VND</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0</xdr:col>
      <xdr:colOff>66675</xdr:colOff>
      <xdr:row>0</xdr:row>
      <xdr:rowOff>0</xdr:rowOff>
    </xdr:from>
    <xdr:to>
      <xdr:col>20</xdr:col>
      <xdr:colOff>57150</xdr:colOff>
      <xdr:row>3</xdr:row>
      <xdr:rowOff>85725</xdr:rowOff>
    </xdr:to>
    <xdr:sp macro="" textlink="">
      <xdr:nvSpPr>
        <xdr:cNvPr id="2" name="Rectangle 1">
          <a:extLst>
            <a:ext uri="{FF2B5EF4-FFF2-40B4-BE49-F238E27FC236}">
              <a16:creationId xmlns:a16="http://schemas.microsoft.com/office/drawing/2014/main" id="{4D93CAA6-E0C7-4E3A-9734-5615BC8A2750}"/>
            </a:ext>
          </a:extLst>
        </xdr:cNvPr>
        <xdr:cNvSpPr/>
      </xdr:nvSpPr>
      <xdr:spPr>
        <a:xfrm>
          <a:off x="66675" y="0"/>
          <a:ext cx="11572875" cy="657225"/>
        </a:xfrm>
        <a:prstGeom prst="rect">
          <a:avLst/>
        </a:prstGeom>
        <a:solidFill>
          <a:schemeClr val="accent4">
            <a:lumMod val="40000"/>
            <a:lumOff val="60000"/>
          </a:schemeClr>
        </a:solidFill>
        <a:ln>
          <a:solidFill>
            <a:sysClr val="windowText" lastClr="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3200" baseline="0">
              <a:solidFill>
                <a:schemeClr val="accent1">
                  <a:lumMod val="75000"/>
                </a:schemeClr>
              </a:solidFill>
              <a:latin typeface="UTM HelvetIns" panose="02040603050506020204" pitchFamily="18" charset="0"/>
              <a:ea typeface="+mn-ea"/>
              <a:cs typeface="+mn-cs"/>
            </a:rPr>
            <a:t>TRANSPORATION COST MONITORING  </a:t>
          </a:r>
          <a:r>
            <a:rPr lang="en-US" sz="3200" baseline="0">
              <a:solidFill>
                <a:schemeClr val="accent1">
                  <a:lumMod val="75000"/>
                </a:schemeClr>
              </a:solidFill>
              <a:latin typeface="UTM HelvetIns" panose="02040603050506020204" pitchFamily="18" charset="0"/>
            </a:rPr>
            <a:t>- LTL</a:t>
          </a:r>
          <a:endParaRPr lang="en-US" sz="3200">
            <a:solidFill>
              <a:schemeClr val="accent1">
                <a:lumMod val="75000"/>
              </a:schemeClr>
            </a:solidFill>
            <a:latin typeface="UTM HelvetIns" panose="02040603050506020204" pitchFamily="18" charset="0"/>
          </a:endParaRPr>
        </a:p>
      </xdr:txBody>
    </xdr:sp>
    <xdr:clientData/>
  </xdr:twoCellAnchor>
  <xdr:twoCellAnchor>
    <xdr:from>
      <xdr:col>0</xdr:col>
      <xdr:colOff>76200</xdr:colOff>
      <xdr:row>16</xdr:row>
      <xdr:rowOff>133350</xdr:rowOff>
    </xdr:from>
    <xdr:to>
      <xdr:col>8</xdr:col>
      <xdr:colOff>0</xdr:colOff>
      <xdr:row>36</xdr:row>
      <xdr:rowOff>152400</xdr:rowOff>
    </xdr:to>
    <xdr:graphicFrame macro="">
      <xdr:nvGraphicFramePr>
        <xdr:cNvPr id="3" name="Chart 2">
          <a:extLst>
            <a:ext uri="{FF2B5EF4-FFF2-40B4-BE49-F238E27FC236}">
              <a16:creationId xmlns:a16="http://schemas.microsoft.com/office/drawing/2014/main" id="{3643929F-F10E-4CFB-BFD0-EF5E1732E9A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85725</xdr:colOff>
      <xdr:row>10</xdr:row>
      <xdr:rowOff>0</xdr:rowOff>
    </xdr:from>
    <xdr:to>
      <xdr:col>4</xdr:col>
      <xdr:colOff>19051</xdr:colOff>
      <xdr:row>15</xdr:row>
      <xdr:rowOff>133350</xdr:rowOff>
    </xdr:to>
    <xdr:sp macro="" textlink="">
      <xdr:nvSpPr>
        <xdr:cNvPr id="6" name="Rectangle 5">
          <a:extLst>
            <a:ext uri="{FF2B5EF4-FFF2-40B4-BE49-F238E27FC236}">
              <a16:creationId xmlns:a16="http://schemas.microsoft.com/office/drawing/2014/main" id="{CA4D7E32-9B88-E1E6-9CB2-B1CA44FCD140}"/>
            </a:ext>
          </a:extLst>
        </xdr:cNvPr>
        <xdr:cNvSpPr/>
      </xdr:nvSpPr>
      <xdr:spPr>
        <a:xfrm>
          <a:off x="85725" y="1905000"/>
          <a:ext cx="2371726" cy="1085850"/>
        </a:xfrm>
        <a:prstGeom prst="rect">
          <a:avLst/>
        </a:prstGeom>
        <a:solidFill>
          <a:schemeClr val="accent6">
            <a:lumMod val="20000"/>
            <a:lumOff val="8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2400" b="1" i="0" u="none" strike="noStrike">
              <a:solidFill>
                <a:schemeClr val="accent1">
                  <a:lumMod val="75000"/>
                </a:schemeClr>
              </a:solidFill>
              <a:latin typeface="UTM Bebas" panose="02040603050506020204" pitchFamily="18" charset="0"/>
              <a:cs typeface="Calibri"/>
            </a:rPr>
            <a:t>TOTAL</a:t>
          </a:r>
          <a:r>
            <a:rPr lang="en-US" sz="2400" b="1" i="0" u="none" strike="noStrike" baseline="0">
              <a:solidFill>
                <a:schemeClr val="accent1">
                  <a:lumMod val="75000"/>
                </a:schemeClr>
              </a:solidFill>
              <a:latin typeface="UTM Bebas" panose="02040603050506020204" pitchFamily="18" charset="0"/>
              <a:cs typeface="Calibri"/>
            </a:rPr>
            <a:t> COST</a:t>
          </a:r>
          <a:endParaRPr lang="en-US" sz="2000" b="1" i="0" u="none" strike="noStrike">
            <a:solidFill>
              <a:schemeClr val="accent1">
                <a:lumMod val="75000"/>
              </a:schemeClr>
            </a:solidFill>
            <a:latin typeface="UTM Bebas" panose="02040603050506020204" pitchFamily="18" charset="0"/>
            <a:cs typeface="Calibri"/>
          </a:endParaRPr>
        </a:p>
      </xdr:txBody>
    </xdr:sp>
    <xdr:clientData/>
  </xdr:twoCellAnchor>
  <xdr:twoCellAnchor>
    <xdr:from>
      <xdr:col>0</xdr:col>
      <xdr:colOff>85725</xdr:colOff>
      <xdr:row>12</xdr:row>
      <xdr:rowOff>38099</xdr:rowOff>
    </xdr:from>
    <xdr:to>
      <xdr:col>4</xdr:col>
      <xdr:colOff>19051</xdr:colOff>
      <xdr:row>15</xdr:row>
      <xdr:rowOff>95249</xdr:rowOff>
    </xdr:to>
    <xdr:sp macro="" textlink="'CALCULATION- LTL'!L4">
      <xdr:nvSpPr>
        <xdr:cNvPr id="7" name="Rectangle 6">
          <a:extLst>
            <a:ext uri="{FF2B5EF4-FFF2-40B4-BE49-F238E27FC236}">
              <a16:creationId xmlns:a16="http://schemas.microsoft.com/office/drawing/2014/main" id="{76D0B28F-1A33-0A42-A8B7-370E0B4EB64E}"/>
            </a:ext>
          </a:extLst>
        </xdr:cNvPr>
        <xdr:cNvSpPr/>
      </xdr:nvSpPr>
      <xdr:spPr>
        <a:xfrm>
          <a:off x="85725" y="2215242"/>
          <a:ext cx="2509612" cy="601436"/>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ctr" anchorCtr="0" forceAA="0" compatLnSpc="1">
          <a:prstTxWarp prst="textNoShape">
            <a:avLst/>
          </a:prstTxWarp>
          <a:noAutofit/>
        </a:bodyPr>
        <a:lstStyle/>
        <a:p>
          <a:pPr marL="0" indent="0" algn="ctr"/>
          <a:fld id="{A7CD9499-91AE-43F4-A856-3553E15EA4E2}" type="TxLink">
            <a:rPr lang="en-US" sz="2000" b="1" i="0" u="none" strike="noStrike">
              <a:solidFill>
                <a:schemeClr val="accent1">
                  <a:lumMod val="75000"/>
                </a:schemeClr>
              </a:solidFill>
              <a:latin typeface="Arial Narrow" panose="020B0606020202030204" pitchFamily="34" charset="0"/>
              <a:ea typeface="+mn-ea"/>
              <a:cs typeface="Calibri"/>
            </a:rPr>
            <a:pPr marL="0" indent="0" algn="ctr"/>
            <a:t> 2,928,399,650.19 </a:t>
          </a:fld>
          <a:endParaRPr lang="en-US" sz="2000" b="1" i="0" u="none" strike="noStrike">
            <a:solidFill>
              <a:schemeClr val="accent1">
                <a:lumMod val="75000"/>
              </a:schemeClr>
            </a:solidFill>
            <a:latin typeface="Arial Narrow" panose="020B0606020202030204" pitchFamily="34" charset="0"/>
            <a:ea typeface="+mn-ea"/>
            <a:cs typeface="Calibri"/>
          </a:endParaRPr>
        </a:p>
      </xdr:txBody>
    </xdr:sp>
    <xdr:clientData/>
  </xdr:twoCellAnchor>
  <xdr:twoCellAnchor>
    <xdr:from>
      <xdr:col>4</xdr:col>
      <xdr:colOff>47624</xdr:colOff>
      <xdr:row>10</xdr:row>
      <xdr:rowOff>1</xdr:rowOff>
    </xdr:from>
    <xdr:to>
      <xdr:col>8</xdr:col>
      <xdr:colOff>9071</xdr:colOff>
      <xdr:row>15</xdr:row>
      <xdr:rowOff>142875</xdr:rowOff>
    </xdr:to>
    <xdr:sp macro="" textlink="">
      <xdr:nvSpPr>
        <xdr:cNvPr id="9" name="Rectangle 8">
          <a:extLst>
            <a:ext uri="{FF2B5EF4-FFF2-40B4-BE49-F238E27FC236}">
              <a16:creationId xmlns:a16="http://schemas.microsoft.com/office/drawing/2014/main" id="{ADC3AF0A-5E90-FD17-6150-CAA483191D2E}"/>
            </a:ext>
          </a:extLst>
        </xdr:cNvPr>
        <xdr:cNvSpPr/>
      </xdr:nvSpPr>
      <xdr:spPr>
        <a:xfrm>
          <a:off x="2623910" y="1814287"/>
          <a:ext cx="2564947" cy="1050017"/>
        </a:xfrm>
        <a:prstGeom prst="rect">
          <a:avLst/>
        </a:prstGeom>
        <a:solidFill>
          <a:schemeClr val="accent6">
            <a:lumMod val="20000"/>
            <a:lumOff val="80000"/>
          </a:schemeClr>
        </a:solidFill>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t" anchorCtr="0" forceAA="0" compatLnSpc="1">
          <a:prstTxWarp prst="textNoShape">
            <a:avLst/>
          </a:prstTxWarp>
          <a:noAutofit/>
        </a:bodyPr>
        <a:lstStyle/>
        <a:p>
          <a:pPr marL="0" indent="0" algn="ctr"/>
          <a:r>
            <a:rPr lang="en-US" sz="2400" b="1" i="0" u="none" strike="noStrike">
              <a:solidFill>
                <a:schemeClr val="accent1">
                  <a:lumMod val="75000"/>
                </a:schemeClr>
              </a:solidFill>
              <a:latin typeface="UTM Bebas" panose="02040603050506020204" pitchFamily="18" charset="0"/>
              <a:ea typeface="+mn-ea"/>
              <a:cs typeface="Calibri"/>
            </a:rPr>
            <a:t>COST RATIO</a:t>
          </a:r>
        </a:p>
      </xdr:txBody>
    </xdr:sp>
    <xdr:clientData/>
  </xdr:twoCellAnchor>
  <xdr:twoCellAnchor>
    <xdr:from>
      <xdr:col>4</xdr:col>
      <xdr:colOff>95703</xdr:colOff>
      <xdr:row>12</xdr:row>
      <xdr:rowOff>38552</xdr:rowOff>
    </xdr:from>
    <xdr:to>
      <xdr:col>7</xdr:col>
      <xdr:colOff>635000</xdr:colOff>
      <xdr:row>15</xdr:row>
      <xdr:rowOff>105227</xdr:rowOff>
    </xdr:to>
    <xdr:sp macro="" textlink="'CALCULATION- LTL'!N4">
      <xdr:nvSpPr>
        <xdr:cNvPr id="10" name="Rectangle 9">
          <a:extLst>
            <a:ext uri="{FF2B5EF4-FFF2-40B4-BE49-F238E27FC236}">
              <a16:creationId xmlns:a16="http://schemas.microsoft.com/office/drawing/2014/main" id="{4564D5A5-7704-3834-5F93-E71BBB4EB769}"/>
            </a:ext>
          </a:extLst>
        </xdr:cNvPr>
        <xdr:cNvSpPr/>
      </xdr:nvSpPr>
      <xdr:spPr>
        <a:xfrm>
          <a:off x="2671989" y="2215695"/>
          <a:ext cx="2471511" cy="610961"/>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ctr" anchorCtr="0" forceAA="0" compatLnSpc="1">
          <a:prstTxWarp prst="textNoShape">
            <a:avLst/>
          </a:prstTxWarp>
          <a:noAutofit/>
        </a:bodyPr>
        <a:lstStyle/>
        <a:p>
          <a:pPr marL="0" indent="0" algn="ctr"/>
          <a:fld id="{5D8C306C-81E5-488B-84ED-F3DB8A926738}" type="TxLink">
            <a:rPr lang="en-US" sz="2000" b="1" i="0" u="none" strike="noStrike">
              <a:solidFill>
                <a:schemeClr val="accent1">
                  <a:lumMod val="75000"/>
                </a:schemeClr>
              </a:solidFill>
              <a:latin typeface="Arial Narrow" panose="020B0606020202030204" pitchFamily="34" charset="0"/>
              <a:ea typeface="+mn-ea"/>
              <a:cs typeface="Calibri"/>
            </a:rPr>
            <a:pPr marL="0" indent="0" algn="ctr"/>
            <a:t>100.00%</a:t>
          </a:fld>
          <a:endParaRPr lang="en-US" sz="2000" b="1" i="0" u="none" strike="noStrike">
            <a:solidFill>
              <a:schemeClr val="accent1">
                <a:lumMod val="75000"/>
              </a:schemeClr>
            </a:solidFill>
            <a:latin typeface="Arial Narrow" panose="020B0606020202030204" pitchFamily="34" charset="0"/>
            <a:ea typeface="+mn-ea"/>
            <a:cs typeface="Calibri"/>
          </a:endParaRPr>
        </a:p>
      </xdr:txBody>
    </xdr:sp>
    <xdr:clientData/>
  </xdr:twoCellAnchor>
  <xdr:twoCellAnchor editAs="oneCell">
    <xdr:from>
      <xdr:col>0</xdr:col>
      <xdr:colOff>85725</xdr:colOff>
      <xdr:row>3</xdr:row>
      <xdr:rowOff>133350</xdr:rowOff>
    </xdr:from>
    <xdr:to>
      <xdr:col>4</xdr:col>
      <xdr:colOff>9525</xdr:colOff>
      <xdr:row>9</xdr:row>
      <xdr:rowOff>161924</xdr:rowOff>
    </xdr:to>
    <mc:AlternateContent xmlns:mc="http://schemas.openxmlformats.org/markup-compatibility/2006" xmlns:a14="http://schemas.microsoft.com/office/drawing/2010/main">
      <mc:Choice Requires="a14">
        <xdr:graphicFrame macro="">
          <xdr:nvGraphicFramePr>
            <xdr:cNvPr id="11" name="Chi nhánh 4">
              <a:extLst>
                <a:ext uri="{FF2B5EF4-FFF2-40B4-BE49-F238E27FC236}">
                  <a16:creationId xmlns:a16="http://schemas.microsoft.com/office/drawing/2014/main" id="{B8392EF4-08A1-45B8-B25A-2DF22331AE77}"/>
                </a:ext>
              </a:extLst>
            </xdr:cNvPr>
            <xdr:cNvGraphicFramePr/>
          </xdr:nvGraphicFramePr>
          <xdr:xfrm>
            <a:off x="0" y="0"/>
            <a:ext cx="0" cy="0"/>
          </xdr:xfrm>
          <a:graphic>
            <a:graphicData uri="http://schemas.microsoft.com/office/drawing/2010/slicer">
              <sle:slicer xmlns:sle="http://schemas.microsoft.com/office/drawing/2010/slicer" name="Chi nhánh 4"/>
            </a:graphicData>
          </a:graphic>
        </xdr:graphicFrame>
      </mc:Choice>
      <mc:Fallback xmlns="">
        <xdr:sp macro="" textlink="">
          <xdr:nvSpPr>
            <xdr:cNvPr id="0" name=""/>
            <xdr:cNvSpPr>
              <a:spLocks noTextEdit="1"/>
            </xdr:cNvSpPr>
          </xdr:nvSpPr>
          <xdr:spPr>
            <a:xfrm>
              <a:off x="85725" y="704850"/>
              <a:ext cx="2362200" cy="11715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4</xdr:col>
      <xdr:colOff>28574</xdr:colOff>
      <xdr:row>3</xdr:row>
      <xdr:rowOff>142875</xdr:rowOff>
    </xdr:from>
    <xdr:to>
      <xdr:col>8</xdr:col>
      <xdr:colOff>10884</xdr:colOff>
      <xdr:row>9</xdr:row>
      <xdr:rowOff>171449</xdr:rowOff>
    </xdr:to>
    <mc:AlternateContent xmlns:mc="http://schemas.openxmlformats.org/markup-compatibility/2006" xmlns:a14="http://schemas.microsoft.com/office/drawing/2010/main">
      <mc:Choice Requires="a14">
        <xdr:graphicFrame macro="">
          <xdr:nvGraphicFramePr>
            <xdr:cNvPr id="12" name="Tháng 4">
              <a:extLst>
                <a:ext uri="{FF2B5EF4-FFF2-40B4-BE49-F238E27FC236}">
                  <a16:creationId xmlns:a16="http://schemas.microsoft.com/office/drawing/2014/main" id="{D14BB2F9-51CF-4217-BC04-E3B310288F8B}"/>
                </a:ext>
              </a:extLst>
            </xdr:cNvPr>
            <xdr:cNvGraphicFramePr/>
          </xdr:nvGraphicFramePr>
          <xdr:xfrm>
            <a:off x="0" y="0"/>
            <a:ext cx="0" cy="0"/>
          </xdr:xfrm>
          <a:graphic>
            <a:graphicData uri="http://schemas.microsoft.com/office/drawing/2010/slicer">
              <sle:slicer xmlns:sle="http://schemas.microsoft.com/office/drawing/2010/slicer" name="Tháng 4"/>
            </a:graphicData>
          </a:graphic>
        </xdr:graphicFrame>
      </mc:Choice>
      <mc:Fallback xmlns="">
        <xdr:sp macro="" textlink="">
          <xdr:nvSpPr>
            <xdr:cNvPr id="0" name=""/>
            <xdr:cNvSpPr>
              <a:spLocks noTextEdit="1"/>
            </xdr:cNvSpPr>
          </xdr:nvSpPr>
          <xdr:spPr>
            <a:xfrm>
              <a:off x="2466974" y="714375"/>
              <a:ext cx="2447925" cy="11715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11</xdr:col>
      <xdr:colOff>581025</xdr:colOff>
      <xdr:row>4</xdr:row>
      <xdr:rowOff>66674</xdr:rowOff>
    </xdr:from>
    <xdr:to>
      <xdr:col>20</xdr:col>
      <xdr:colOff>47626</xdr:colOff>
      <xdr:row>19</xdr:row>
      <xdr:rowOff>114299</xdr:rowOff>
    </xdr:to>
    <xdr:graphicFrame macro="">
      <xdr:nvGraphicFramePr>
        <xdr:cNvPr id="13" name="Chart 12">
          <a:extLst>
            <a:ext uri="{FF2B5EF4-FFF2-40B4-BE49-F238E27FC236}">
              <a16:creationId xmlns:a16="http://schemas.microsoft.com/office/drawing/2014/main" id="{1475817A-6AE1-4A38-B67F-83262572A3A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9</xdr:col>
      <xdr:colOff>73482</xdr:colOff>
      <xdr:row>13</xdr:row>
      <xdr:rowOff>152400</xdr:rowOff>
    </xdr:from>
    <xdr:to>
      <xdr:col>11</xdr:col>
      <xdr:colOff>509365</xdr:colOff>
      <xdr:row>23</xdr:row>
      <xdr:rowOff>76200</xdr:rowOff>
    </xdr:to>
    <mc:AlternateContent xmlns:mc="http://schemas.openxmlformats.org/markup-compatibility/2006" xmlns:a14="http://schemas.microsoft.com/office/drawing/2010/main">
      <mc:Choice Requires="a14">
        <xdr:graphicFrame macro="">
          <xdr:nvGraphicFramePr>
            <xdr:cNvPr id="14" name="Chi nhánh 5">
              <a:extLst>
                <a:ext uri="{FF2B5EF4-FFF2-40B4-BE49-F238E27FC236}">
                  <a16:creationId xmlns:a16="http://schemas.microsoft.com/office/drawing/2014/main" id="{52DFB6D0-5C5C-45B3-BE93-F97715811635}"/>
                </a:ext>
              </a:extLst>
            </xdr:cNvPr>
            <xdr:cNvGraphicFramePr/>
          </xdr:nvGraphicFramePr>
          <xdr:xfrm>
            <a:off x="0" y="0"/>
            <a:ext cx="0" cy="0"/>
          </xdr:xfrm>
          <a:graphic>
            <a:graphicData uri="http://schemas.microsoft.com/office/drawing/2010/slicer">
              <sle:slicer xmlns:sle="http://schemas.microsoft.com/office/drawing/2010/slicer" name="Chi nhánh 5"/>
            </a:graphicData>
          </a:graphic>
        </xdr:graphicFrame>
      </mc:Choice>
      <mc:Fallback xmlns="">
        <xdr:sp macro="" textlink="">
          <xdr:nvSpPr>
            <xdr:cNvPr id="0" name=""/>
            <xdr:cNvSpPr>
              <a:spLocks noTextEdit="1"/>
            </xdr:cNvSpPr>
          </xdr:nvSpPr>
          <xdr:spPr>
            <a:xfrm>
              <a:off x="5334911" y="2520043"/>
              <a:ext cx="1488168" cy="1738086"/>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11</xdr:col>
      <xdr:colOff>600075</xdr:colOff>
      <xdr:row>20</xdr:row>
      <xdr:rowOff>85725</xdr:rowOff>
    </xdr:from>
    <xdr:to>
      <xdr:col>20</xdr:col>
      <xdr:colOff>47625</xdr:colOff>
      <xdr:row>36</xdr:row>
      <xdr:rowOff>133350</xdr:rowOff>
    </xdr:to>
    <xdr:graphicFrame macro="">
      <xdr:nvGraphicFramePr>
        <xdr:cNvPr id="16" name="Chart 15">
          <a:extLst>
            <a:ext uri="{FF2B5EF4-FFF2-40B4-BE49-F238E27FC236}">
              <a16:creationId xmlns:a16="http://schemas.microsoft.com/office/drawing/2014/main" id="{B812BF16-852E-4AD5-B90B-7B9BC9E4ECB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9</xdr:col>
      <xdr:colOff>73937</xdr:colOff>
      <xdr:row>3</xdr:row>
      <xdr:rowOff>142875</xdr:rowOff>
    </xdr:from>
    <xdr:to>
      <xdr:col>11</xdr:col>
      <xdr:colOff>500295</xdr:colOff>
      <xdr:row>13</xdr:row>
      <xdr:rowOff>95249</xdr:rowOff>
    </xdr:to>
    <mc:AlternateContent xmlns:mc="http://schemas.openxmlformats.org/markup-compatibility/2006" xmlns:a14="http://schemas.microsoft.com/office/drawing/2010/main">
      <mc:Choice Requires="a14">
        <xdr:graphicFrame macro="">
          <xdr:nvGraphicFramePr>
            <xdr:cNvPr id="17" name="Tháng 5">
              <a:extLst>
                <a:ext uri="{FF2B5EF4-FFF2-40B4-BE49-F238E27FC236}">
                  <a16:creationId xmlns:a16="http://schemas.microsoft.com/office/drawing/2014/main" id="{5BFFBC2E-B363-4CA3-8389-35DC7672BA8F}"/>
                </a:ext>
              </a:extLst>
            </xdr:cNvPr>
            <xdr:cNvGraphicFramePr/>
          </xdr:nvGraphicFramePr>
          <xdr:xfrm>
            <a:off x="0" y="0"/>
            <a:ext cx="0" cy="0"/>
          </xdr:xfrm>
          <a:graphic>
            <a:graphicData uri="http://schemas.microsoft.com/office/drawing/2010/slicer">
              <sle:slicer xmlns:sle="http://schemas.microsoft.com/office/drawing/2010/slicer" name="Tháng 5"/>
            </a:graphicData>
          </a:graphic>
        </xdr:graphicFrame>
      </mc:Choice>
      <mc:Fallback xmlns="">
        <xdr:sp macro="" textlink="">
          <xdr:nvSpPr>
            <xdr:cNvPr id="0" name=""/>
            <xdr:cNvSpPr>
              <a:spLocks noTextEdit="1"/>
            </xdr:cNvSpPr>
          </xdr:nvSpPr>
          <xdr:spPr>
            <a:xfrm>
              <a:off x="5335366" y="696232"/>
              <a:ext cx="1478643" cy="176666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9</xdr:col>
      <xdr:colOff>219075</xdr:colOff>
      <xdr:row>24</xdr:row>
      <xdr:rowOff>19050</xdr:rowOff>
    </xdr:from>
    <xdr:to>
      <xdr:col>11</xdr:col>
      <xdr:colOff>409575</xdr:colOff>
      <xdr:row>29</xdr:row>
      <xdr:rowOff>47876</xdr:rowOff>
    </xdr:to>
    <xdr:sp macro="" textlink="">
      <xdr:nvSpPr>
        <xdr:cNvPr id="19" name="Rectangle 18">
          <a:extLst>
            <a:ext uri="{FF2B5EF4-FFF2-40B4-BE49-F238E27FC236}">
              <a16:creationId xmlns:a16="http://schemas.microsoft.com/office/drawing/2014/main" id="{5A6382F0-399C-31C7-27C7-8161FA56206D}"/>
            </a:ext>
          </a:extLst>
        </xdr:cNvPr>
        <xdr:cNvSpPr/>
      </xdr:nvSpPr>
      <xdr:spPr>
        <a:xfrm>
          <a:off x="5095875" y="4591050"/>
          <a:ext cx="1409700" cy="981326"/>
        </a:xfrm>
        <a:prstGeom prst="rect">
          <a:avLst/>
        </a:prstGeom>
        <a:solidFill>
          <a:schemeClr val="accent6">
            <a:lumMod val="20000"/>
            <a:lumOff val="80000"/>
          </a:schemeClr>
        </a:solidFill>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ctr" anchorCtr="0" forceAA="0" compatLnSpc="1">
          <a:prstTxWarp prst="textNoShape">
            <a:avLst/>
          </a:prstTxWarp>
          <a:noAutofit/>
        </a:bodyPr>
        <a:lstStyle/>
        <a:p>
          <a:pPr marL="0" indent="0" algn="ctr"/>
          <a:r>
            <a:rPr lang="en-US" sz="2000" b="1" i="0" u="none" strike="noStrike">
              <a:solidFill>
                <a:schemeClr val="accent1">
                  <a:lumMod val="75000"/>
                </a:schemeClr>
              </a:solidFill>
              <a:latin typeface="UTM Bebas" panose="02040603050506020204" pitchFamily="18" charset="0"/>
              <a:ea typeface="+mn-ea"/>
              <a:cs typeface="Calibri"/>
            </a:rPr>
            <a:t>VENDORS</a:t>
          </a:r>
        </a:p>
        <a:p>
          <a:pPr marL="0" indent="0" algn="ctr"/>
          <a:endParaRPr lang="en-US" sz="1600" b="1" i="0" u="none" strike="noStrike">
            <a:solidFill>
              <a:schemeClr val="accent1">
                <a:lumMod val="75000"/>
              </a:schemeClr>
            </a:solidFill>
            <a:latin typeface="UTM Bebas" panose="02040603050506020204" pitchFamily="18" charset="0"/>
            <a:ea typeface="+mn-ea"/>
            <a:cs typeface="Calibri"/>
          </a:endParaRPr>
        </a:p>
      </xdr:txBody>
    </xdr:sp>
    <xdr:clientData/>
  </xdr:twoCellAnchor>
  <xdr:twoCellAnchor>
    <xdr:from>
      <xdr:col>9</xdr:col>
      <xdr:colOff>247651</xdr:colOff>
      <xdr:row>25</xdr:row>
      <xdr:rowOff>162177</xdr:rowOff>
    </xdr:from>
    <xdr:to>
      <xdr:col>11</xdr:col>
      <xdr:colOff>438151</xdr:colOff>
      <xdr:row>29</xdr:row>
      <xdr:rowOff>133351</xdr:rowOff>
    </xdr:to>
    <xdr:sp macro="" textlink="'CALCULATION- LTL'!M4">
      <xdr:nvSpPr>
        <xdr:cNvPr id="20" name="Rectangle 19">
          <a:extLst>
            <a:ext uri="{FF2B5EF4-FFF2-40B4-BE49-F238E27FC236}">
              <a16:creationId xmlns:a16="http://schemas.microsoft.com/office/drawing/2014/main" id="{1C88DC88-B5E8-8B1C-A839-92F349B742D3}"/>
            </a:ext>
          </a:extLst>
        </xdr:cNvPr>
        <xdr:cNvSpPr/>
      </xdr:nvSpPr>
      <xdr:spPr>
        <a:xfrm>
          <a:off x="5124451" y="4924677"/>
          <a:ext cx="1409700" cy="733174"/>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ctr" anchorCtr="0" forceAA="0" compatLnSpc="1">
          <a:prstTxWarp prst="textNoShape">
            <a:avLst/>
          </a:prstTxWarp>
          <a:noAutofit/>
        </a:bodyPr>
        <a:lstStyle/>
        <a:p>
          <a:pPr marL="0" indent="0" algn="ctr"/>
          <a:fld id="{4F2B7B88-CA11-4311-B665-4B1E250C4A74}" type="TxLink">
            <a:rPr lang="en-US" sz="2400" b="1" i="0" u="none" strike="noStrike">
              <a:solidFill>
                <a:schemeClr val="accent1">
                  <a:lumMod val="75000"/>
                </a:schemeClr>
              </a:solidFill>
              <a:latin typeface="Arial Narrow" panose="020B0606020202030204" pitchFamily="34" charset="0"/>
              <a:ea typeface="+mn-ea"/>
              <a:cs typeface="Calibri"/>
            </a:rPr>
            <a:pPr marL="0" indent="0" algn="ctr"/>
            <a:t>6</a:t>
          </a:fld>
          <a:endParaRPr lang="en-US" sz="3600" b="1" i="0" u="none" strike="noStrike">
            <a:solidFill>
              <a:schemeClr val="accent1">
                <a:lumMod val="75000"/>
              </a:schemeClr>
            </a:solidFill>
            <a:latin typeface="Arial Narrow" panose="020B0606020202030204" pitchFamily="34" charset="0"/>
            <a:ea typeface="+mn-ea"/>
            <a:cs typeface="Calibri"/>
          </a:endParaRPr>
        </a:p>
      </xdr:txBody>
    </xdr:sp>
    <xdr:clientData/>
  </xdr:twoCellAnchor>
  <xdr:twoCellAnchor>
    <xdr:from>
      <xdr:col>9</xdr:col>
      <xdr:colOff>200025</xdr:colOff>
      <xdr:row>30</xdr:row>
      <xdr:rowOff>0</xdr:rowOff>
    </xdr:from>
    <xdr:to>
      <xdr:col>11</xdr:col>
      <xdr:colOff>466726</xdr:colOff>
      <xdr:row>35</xdr:row>
      <xdr:rowOff>123825</xdr:rowOff>
    </xdr:to>
    <xdr:grpSp>
      <xdr:nvGrpSpPr>
        <xdr:cNvPr id="23" name="Group 22">
          <a:extLst>
            <a:ext uri="{FF2B5EF4-FFF2-40B4-BE49-F238E27FC236}">
              <a16:creationId xmlns:a16="http://schemas.microsoft.com/office/drawing/2014/main" id="{5C241D9A-D806-428D-A6C5-5703A909C71F}"/>
            </a:ext>
          </a:extLst>
        </xdr:cNvPr>
        <xdr:cNvGrpSpPr/>
      </xdr:nvGrpSpPr>
      <xdr:grpSpPr>
        <a:xfrm>
          <a:off x="5461454" y="5451929"/>
          <a:ext cx="1318986" cy="1030967"/>
          <a:chOff x="5010150" y="5553076"/>
          <a:chExt cx="1485901" cy="1076325"/>
        </a:xfrm>
      </xdr:grpSpPr>
      <xdr:sp macro="" textlink="">
        <xdr:nvSpPr>
          <xdr:cNvPr id="24" name="Rectangle 23">
            <a:extLst>
              <a:ext uri="{FF2B5EF4-FFF2-40B4-BE49-F238E27FC236}">
                <a16:creationId xmlns:a16="http://schemas.microsoft.com/office/drawing/2014/main" id="{91E25183-3715-F43D-3678-A43168997EBD}"/>
              </a:ext>
            </a:extLst>
          </xdr:cNvPr>
          <xdr:cNvSpPr/>
        </xdr:nvSpPr>
        <xdr:spPr>
          <a:xfrm>
            <a:off x="5010150" y="5553076"/>
            <a:ext cx="1428750" cy="990599"/>
          </a:xfrm>
          <a:prstGeom prst="rect">
            <a:avLst/>
          </a:prstGeom>
          <a:solidFill>
            <a:schemeClr val="accent6">
              <a:lumMod val="20000"/>
              <a:lumOff val="80000"/>
            </a:schemeClr>
          </a:solidFill>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ctr" anchorCtr="0" forceAA="0" compatLnSpc="1">
            <a:prstTxWarp prst="textNoShape">
              <a:avLst/>
            </a:prstTxWarp>
            <a:noAutofit/>
          </a:bodyPr>
          <a:lstStyle/>
          <a:p>
            <a:pPr marL="0" indent="0" algn="ctr"/>
            <a:r>
              <a:rPr lang="en-US" sz="2000" b="1" i="0" u="none" strike="noStrike">
                <a:solidFill>
                  <a:schemeClr val="accent1">
                    <a:lumMod val="75000"/>
                  </a:schemeClr>
                </a:solidFill>
                <a:latin typeface="UTM Bebas" panose="02040603050506020204" pitchFamily="18" charset="0"/>
                <a:ea typeface="+mn-ea"/>
                <a:cs typeface="Calibri"/>
              </a:rPr>
              <a:t>AVG</a:t>
            </a:r>
            <a:r>
              <a:rPr lang="en-US" sz="2000" b="1" i="0" u="none" strike="noStrike" baseline="0">
                <a:solidFill>
                  <a:schemeClr val="accent1">
                    <a:lumMod val="75000"/>
                  </a:schemeClr>
                </a:solidFill>
                <a:latin typeface="UTM Bebas" panose="02040603050506020204" pitchFamily="18" charset="0"/>
                <a:ea typeface="+mn-ea"/>
                <a:cs typeface="Calibri"/>
              </a:rPr>
              <a:t> KPI</a:t>
            </a:r>
          </a:p>
          <a:p>
            <a:pPr marL="0" indent="0" algn="ctr"/>
            <a:endParaRPr lang="en-US" sz="2000" b="1" i="0" u="none" strike="noStrike">
              <a:solidFill>
                <a:schemeClr val="accent1">
                  <a:lumMod val="75000"/>
                </a:schemeClr>
              </a:solidFill>
              <a:latin typeface="UTM Bebas" panose="02040603050506020204" pitchFamily="18" charset="0"/>
              <a:ea typeface="+mn-ea"/>
              <a:cs typeface="Calibri"/>
            </a:endParaRPr>
          </a:p>
        </xdr:txBody>
      </xdr:sp>
      <xdr:sp macro="" textlink="'CALCULATION- LTL'!O4">
        <xdr:nvSpPr>
          <xdr:cNvPr id="25" name="Rectangle 24">
            <a:extLst>
              <a:ext uri="{FF2B5EF4-FFF2-40B4-BE49-F238E27FC236}">
                <a16:creationId xmlns:a16="http://schemas.microsoft.com/office/drawing/2014/main" id="{4C9B6DB8-F0BA-04C6-F142-43016C20B5E0}"/>
              </a:ext>
            </a:extLst>
          </xdr:cNvPr>
          <xdr:cNvSpPr/>
        </xdr:nvSpPr>
        <xdr:spPr>
          <a:xfrm>
            <a:off x="5057775" y="5981701"/>
            <a:ext cx="1438276" cy="64770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ctr" anchorCtr="0" forceAA="0" compatLnSpc="1">
            <a:prstTxWarp prst="textNoShape">
              <a:avLst/>
            </a:prstTxWarp>
            <a:noAutofit/>
          </a:bodyPr>
          <a:lstStyle/>
          <a:p>
            <a:pPr marL="0" indent="0" algn="ctr"/>
            <a:fld id="{3009E6FF-6BB7-4179-9787-FF8564F999C2}" type="TxLink">
              <a:rPr lang="en-US" sz="2400" b="1" i="0" u="none" strike="noStrike">
                <a:solidFill>
                  <a:schemeClr val="accent1">
                    <a:lumMod val="75000"/>
                  </a:schemeClr>
                </a:solidFill>
                <a:latin typeface="UTM Bebas" panose="02040603050506020204" pitchFamily="18" charset="0"/>
                <a:ea typeface="+mn-ea"/>
                <a:cs typeface="Calibri"/>
              </a:rPr>
              <a:pPr marL="0" indent="0" algn="ctr"/>
              <a:t>95.2%</a:t>
            </a:fld>
            <a:endParaRPr lang="en-US" sz="3600" b="1" i="0" u="none" strike="noStrike">
              <a:solidFill>
                <a:schemeClr val="accent1">
                  <a:lumMod val="75000"/>
                </a:schemeClr>
              </a:solidFill>
              <a:latin typeface="UTM Bebas" panose="02040603050506020204" pitchFamily="18" charset="0"/>
              <a:ea typeface="+mn-ea"/>
              <a:cs typeface="Calibri"/>
            </a:endParaRPr>
          </a:p>
        </xdr:txBody>
      </xdr:sp>
    </xdr:grpSp>
    <xdr:clientData/>
  </xdr:twoCellAnchor>
</xdr:wsDr>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Nguyen Minh Tien" refreshedDate="45134.564501273147" backgroundQuery="1" createdVersion="8" refreshedVersion="8" minRefreshableVersion="3" recordCount="0" supportSubquery="1" supportAdvancedDrill="1" xr:uid="{1AD9DCEB-5E10-4BC0-AB70-1EE3515CE8A9}">
  <cacheSource type="external" connectionId="5"/>
  <cacheFields count="3">
    <cacheField name="[Table_Raw_Data___LTL].[Tháng].[Tháng]" caption="Tháng" numFmtId="0" hierarchy="5" level="1">
      <sharedItems containsSemiMixedTypes="0" containsString="0" containsNumber="1" containsInteger="1" minValue="4" maxValue="6" count="3">
        <n v="4"/>
        <n v="5"/>
        <n v="6"/>
      </sharedItems>
      <extLst>
        <ext xmlns:x15="http://schemas.microsoft.com/office/spreadsheetml/2010/11/main" uri="{4F2E5C28-24EA-4eb8-9CBF-B6C8F9C3D259}">
          <x15:cachedUniqueNames>
            <x15:cachedUniqueName index="0" name="[Table_Raw_Data___LTL].[Tháng].&amp;[4]"/>
            <x15:cachedUniqueName index="1" name="[Table_Raw_Data___LTL].[Tháng].&amp;[5]"/>
            <x15:cachedUniqueName index="2" name="[Table_Raw_Data___LTL].[Tháng].&amp;[6]"/>
          </x15:cachedUniqueNames>
        </ext>
      </extLst>
    </cacheField>
    <cacheField name="[Table_Raw_Data___LTL].[Chi nhánh].[Chi nhánh]" caption="Chi nhánh" numFmtId="0" hierarchy="6" level="1">
      <sharedItems count="8">
        <s v="CT"/>
        <s v="DN"/>
        <s v="HCM"/>
        <s v="HN"/>
        <s v="HP"/>
        <s v="KH"/>
        <s v="NA"/>
        <s v="PC"/>
      </sharedItems>
    </cacheField>
    <cacheField name="[Measures].[Sum of Chi Phí - LTL]" caption="Sum of Chi Phí - LTL" numFmtId="0" hierarchy="27" level="32767"/>
  </cacheFields>
  <cacheHierarchies count="30">
    <cacheHierarchy uniqueName="[Table_Raw_Data___dài].[Tháng]" caption="Tháng" attribute="1" defaultMemberUniqueName="[Table_Raw_Data___dài].[Tháng].[All]" allUniqueName="[Table_Raw_Data___dài].[Tháng].[All]" dimensionUniqueName="[Table_Raw_Data___dài]" displayFolder="" count="0" memberValueDatatype="20" unbalanced="0"/>
    <cacheHierarchy uniqueName="[Table_Raw_Data___dài].[Chi nhánh]" caption="Chi nhánh" attribute="1" defaultMemberUniqueName="[Table_Raw_Data___dài].[Chi nhánh].[All]" allUniqueName="[Table_Raw_Data___dài].[Chi nhánh].[All]" dimensionUniqueName="[Table_Raw_Data___dài]" displayFolder="" count="0" memberValueDatatype="130" unbalanced="0"/>
    <cacheHierarchy uniqueName="[Table_Raw_Data___dài].[Nhà vận tải]" caption="Nhà vận tải" attribute="1" defaultMemberUniqueName="[Table_Raw_Data___dài].[Nhà vận tải].[All]" allUniqueName="[Table_Raw_Data___dài].[Nhà vận tải].[All]" dimensionUniqueName="[Table_Raw_Data___dài]" displayFolder="" count="0" memberValueDatatype="130" unbalanced="0"/>
    <cacheHierarchy uniqueName="[Table_Raw_Data___dài].[Chi Phí- Dài]" caption="Chi Phí- Dài" attribute="1" defaultMemberUniqueName="[Table_Raw_Data___dài].[Chi Phí- Dài].[All]" allUniqueName="[Table_Raw_Data___dài].[Chi Phí- Dài].[All]" dimensionUniqueName="[Table_Raw_Data___dài]" displayFolder="" count="0" memberValueDatatype="5" unbalanced="0"/>
    <cacheHierarchy uniqueName="[Table_Raw_Data___dài].[KPI-dài]" caption="KPI-dài" attribute="1" defaultMemberUniqueName="[Table_Raw_Data___dài].[KPI-dài].[All]" allUniqueName="[Table_Raw_Data___dài].[KPI-dài].[All]" dimensionUniqueName="[Table_Raw_Data___dài]" displayFolder="" count="0" memberValueDatatype="5" unbalanced="0"/>
    <cacheHierarchy uniqueName="[Table_Raw_Data___LTL].[Tháng]" caption="Tháng" attribute="1" defaultMemberUniqueName="[Table_Raw_Data___LTL].[Tháng].[All]" allUniqueName="[Table_Raw_Data___LTL].[Tháng].[All]" dimensionUniqueName="[Table_Raw_Data___LTL]" displayFolder="" count="2" memberValueDatatype="20" unbalanced="0">
      <fieldsUsage count="2">
        <fieldUsage x="-1"/>
        <fieldUsage x="0"/>
      </fieldsUsage>
    </cacheHierarchy>
    <cacheHierarchy uniqueName="[Table_Raw_Data___LTL].[Chi nhánh]" caption="Chi nhánh" attribute="1" defaultMemberUniqueName="[Table_Raw_Data___LTL].[Chi nhánh].[All]" allUniqueName="[Table_Raw_Data___LTL].[Chi nhánh].[All]" dimensionUniqueName="[Table_Raw_Data___LTL]" displayFolder="" count="2" memberValueDatatype="130" unbalanced="0">
      <fieldsUsage count="2">
        <fieldUsage x="-1"/>
        <fieldUsage x="1"/>
      </fieldsUsage>
    </cacheHierarchy>
    <cacheHierarchy uniqueName="[Table_Raw_Data___LTL].[Nhà vận tải]" caption="Nhà vận tải" attribute="1" defaultMemberUniqueName="[Table_Raw_Data___LTL].[Nhà vận tải].[All]" allUniqueName="[Table_Raw_Data___LTL].[Nhà vận tải].[All]" dimensionUniqueName="[Table_Raw_Data___LTL]" displayFolder="" count="0" memberValueDatatype="130" unbalanced="0"/>
    <cacheHierarchy uniqueName="[Table_Raw_Data___LTL].[Chi Phí - LTL]" caption="Chi Phí - LTL" attribute="1" defaultMemberUniqueName="[Table_Raw_Data___LTL].[Chi Phí - LTL].[All]" allUniqueName="[Table_Raw_Data___LTL].[Chi Phí - LTL].[All]" dimensionUniqueName="[Table_Raw_Data___LTL]" displayFolder="" count="0" memberValueDatatype="5" unbalanced="0"/>
    <cacheHierarchy uniqueName="[Table_Raw_Data___LTL].[KPI- LTL]" caption="KPI- LTL" attribute="1" defaultMemberUniqueName="[Table_Raw_Data___LTL].[KPI- LTL].[All]" allUniqueName="[Table_Raw_Data___LTL].[KPI- LTL].[All]" dimensionUniqueName="[Table_Raw_Data___LTL]" displayFolder="" count="0" memberValueDatatype="5" unbalanced="0"/>
    <cacheHierarchy uniqueName="[Table_Raw_Data__ngắn].[Tháng]" caption="Tháng" attribute="1" defaultMemberUniqueName="[Table_Raw_Data__ngắn].[Tháng].[All]" allUniqueName="[Table_Raw_Data__ngắn].[Tháng].[All]" dimensionUniqueName="[Table_Raw_Data__ngắn]" displayFolder="" count="0" memberValueDatatype="20" unbalanced="0"/>
    <cacheHierarchy uniqueName="[Table_Raw_Data__ngắn].[Chi nhánh]" caption="Chi nhánh" attribute="1" defaultMemberUniqueName="[Table_Raw_Data__ngắn].[Chi nhánh].[All]" allUniqueName="[Table_Raw_Data__ngắn].[Chi nhánh].[All]" dimensionUniqueName="[Table_Raw_Data__ngắn]" displayFolder="" count="0" memberValueDatatype="130" unbalanced="0"/>
    <cacheHierarchy uniqueName="[Table_Raw_Data__ngắn].[Nhà vận tải]" caption="Nhà vận tải" attribute="1" defaultMemberUniqueName="[Table_Raw_Data__ngắn].[Nhà vận tải].[All]" allUniqueName="[Table_Raw_Data__ngắn].[Nhà vận tải].[All]" dimensionUniqueName="[Table_Raw_Data__ngắn]" displayFolder="" count="0" memberValueDatatype="130" unbalanced="0"/>
    <cacheHierarchy uniqueName="[Table_Raw_Data__ngắn].[Chi Phí - ngắn]" caption="Chi Phí - ngắn" attribute="1" defaultMemberUniqueName="[Table_Raw_Data__ngắn].[Chi Phí - ngắn].[All]" allUniqueName="[Table_Raw_Data__ngắn].[Chi Phí - ngắn].[All]" dimensionUniqueName="[Table_Raw_Data__ngắn]" displayFolder="" count="0" memberValueDatatype="5" unbalanced="0"/>
    <cacheHierarchy uniqueName="[Table_Raw_Data__ngắn].[KPI- ngắn]" caption="KPI- ngắn" attribute="1" defaultMemberUniqueName="[Table_Raw_Data__ngắn].[KPI- ngắn].[All]" allUniqueName="[Table_Raw_Data__ngắn].[KPI- ngắn].[All]" dimensionUniqueName="[Table_Raw_Data__ngắn]" displayFolder="" count="0" memberValueDatatype="5" unbalanced="0"/>
    <cacheHierarchy uniqueName="[Measures].[Good]" caption="Good" measure="1" displayFolder="" measureGroup="Table_Raw_Data__ngắn" count="0"/>
    <cacheHierarchy uniqueName="[Measures].[Good.]" caption="Good." measure="1" displayFolder="" measureGroup="Table_Raw_Data__ngắn" count="0"/>
    <cacheHierarchy uniqueName="[Measures].[Need to improve]" caption="Need to improve" measure="1" displayFolder="" measureGroup="Table_Raw_Data__ngắn" count="0"/>
    <cacheHierarchy uniqueName="[Measures].[__XL_Count Table_Raw_Data__ngắn]" caption="__XL_Count Table_Raw_Data__ngắn" measure="1" displayFolder="" measureGroup="Table_Raw_Data__ngắn" count="0" hidden="1"/>
    <cacheHierarchy uniqueName="[Measures].[__XL_Count Table_Raw_Data___dài]" caption="__XL_Count Table_Raw_Data___dài" measure="1" displayFolder="" measureGroup="Table_Raw_Data___dài" count="0" hidden="1"/>
    <cacheHierarchy uniqueName="[Measures].[__XL_Count Table_Raw_Data___LTL]" caption="__XL_Count Table_Raw_Data___LTL" measure="1" displayFolder="" measureGroup="Table_Raw_Data___LTL" count="0" hidden="1"/>
    <cacheHierarchy uniqueName="[Measures].[__No measures defined]" caption="__No measures defined" measure="1" displayFolder="" count="0" hidden="1"/>
    <cacheHierarchy uniqueName="[Measures].[Average of KPI- ngắn]" caption="Average of KPI- ngắn" measure="1" displayFolder="" measureGroup="Table_Raw_Data__ngắn" count="0" hidden="1">
      <extLst>
        <ext xmlns:x15="http://schemas.microsoft.com/office/spreadsheetml/2010/11/main" uri="{B97F6D7D-B522-45F9-BDA1-12C45D357490}">
          <x15:cacheHierarchy aggregatedColumn="14"/>
        </ext>
      </extLst>
    </cacheHierarchy>
    <cacheHierarchy uniqueName="[Measures].[Sum of Chi Phí - ngắn]" caption="Sum of Chi Phí - ngắn" measure="1" displayFolder="" measureGroup="Table_Raw_Data__ngắn" count="0" hidden="1">
      <extLst>
        <ext xmlns:x15="http://schemas.microsoft.com/office/spreadsheetml/2010/11/main" uri="{B97F6D7D-B522-45F9-BDA1-12C45D357490}">
          <x15:cacheHierarchy aggregatedColumn="13"/>
        </ext>
      </extLst>
    </cacheHierarchy>
    <cacheHierarchy uniqueName="[Measures].[Sum of Chi Phí- Dài]" caption="Sum of Chi Phí- Dài" measure="1" displayFolder="" measureGroup="Table_Raw_Data___dài" count="0" hidden="1">
      <extLst>
        <ext xmlns:x15="http://schemas.microsoft.com/office/spreadsheetml/2010/11/main" uri="{B97F6D7D-B522-45F9-BDA1-12C45D357490}">
          <x15:cacheHierarchy aggregatedColumn="3"/>
        </ext>
      </extLst>
    </cacheHierarchy>
    <cacheHierarchy uniqueName="[Measures].[Sum of KPI-dài]" caption="Sum of KPI-dài" measure="1" displayFolder="" measureGroup="Table_Raw_Data___dài" count="0" hidden="1">
      <extLst>
        <ext xmlns:x15="http://schemas.microsoft.com/office/spreadsheetml/2010/11/main" uri="{B97F6D7D-B522-45F9-BDA1-12C45D357490}">
          <x15:cacheHierarchy aggregatedColumn="4"/>
        </ext>
      </extLst>
    </cacheHierarchy>
    <cacheHierarchy uniqueName="[Measures].[Average of KPI-dài]" caption="Average of KPI-dài" measure="1" displayFolder="" measureGroup="Table_Raw_Data___dài" count="0" hidden="1">
      <extLst>
        <ext xmlns:x15="http://schemas.microsoft.com/office/spreadsheetml/2010/11/main" uri="{B97F6D7D-B522-45F9-BDA1-12C45D357490}">
          <x15:cacheHierarchy aggregatedColumn="4"/>
        </ext>
      </extLst>
    </cacheHierarchy>
    <cacheHierarchy uniqueName="[Measures].[Sum of Chi Phí - LTL]" caption="Sum of Chi Phí - LTL" measure="1" displayFolder="" measureGroup="Table_Raw_Data___LTL" count="0" oneField="1" hidden="1">
      <fieldsUsage count="1">
        <fieldUsage x="2"/>
      </fieldsUsage>
      <extLst>
        <ext xmlns:x15="http://schemas.microsoft.com/office/spreadsheetml/2010/11/main" uri="{B97F6D7D-B522-45F9-BDA1-12C45D357490}">
          <x15:cacheHierarchy aggregatedColumn="8"/>
        </ext>
      </extLst>
    </cacheHierarchy>
    <cacheHierarchy uniqueName="[Measures].[Sum of KPI- LTL]" caption="Sum of KPI- LTL" measure="1" displayFolder="" measureGroup="Table_Raw_Data___LTL" count="0" hidden="1">
      <extLst>
        <ext xmlns:x15="http://schemas.microsoft.com/office/spreadsheetml/2010/11/main" uri="{B97F6D7D-B522-45F9-BDA1-12C45D357490}">
          <x15:cacheHierarchy aggregatedColumn="9"/>
        </ext>
      </extLst>
    </cacheHierarchy>
    <cacheHierarchy uniqueName="[Measures].[Average of KPI- LTL]" caption="Average of KPI- LTL" measure="1" displayFolder="" measureGroup="Table_Raw_Data___LTL" count="0" hidden="1">
      <extLst>
        <ext xmlns:x15="http://schemas.microsoft.com/office/spreadsheetml/2010/11/main" uri="{B97F6D7D-B522-45F9-BDA1-12C45D357490}">
          <x15:cacheHierarchy aggregatedColumn="9"/>
        </ext>
      </extLst>
    </cacheHierarchy>
  </cacheHierarchies>
  <kpis count="0"/>
  <dimensions count="4">
    <dimension measure="1" name="Measures" uniqueName="[Measures]" caption="Measures"/>
    <dimension name="Table_Raw_Data___dài" uniqueName="[Table_Raw_Data___dài]" caption="Table_Raw_Data___dài"/>
    <dimension name="Table_Raw_Data___LTL" uniqueName="[Table_Raw_Data___LTL]" caption="Table_Raw_Data___LTL"/>
    <dimension name="Table_Raw_Data__ngắn" uniqueName="[Table_Raw_Data__ngắn]" caption="Table_Raw_Data__ngắn"/>
  </dimensions>
  <measureGroups count="3">
    <measureGroup name="Table_Raw_Data___dài" caption="Table_Raw_Data___dài"/>
    <measureGroup name="Table_Raw_Data___LTL" caption="Table_Raw_Data___LTL"/>
    <measureGroup name="Table_Raw_Data__ngắn" caption="Table_Raw_Data__ngắn"/>
  </measureGroups>
  <maps count="3">
    <map measureGroup="0" dimension="1"/>
    <map measureGroup="1" dimension="2"/>
    <map measureGroup="2" dimension="3"/>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Nguyen Minh Tien" refreshedDate="45134.564515972219" backgroundQuery="1" createdVersion="8" refreshedVersion="8" minRefreshableVersion="3" recordCount="0" supportSubquery="1" supportAdvancedDrill="1" xr:uid="{BAB72E30-FFE9-4E21-B632-2F097C73019B}">
  <cacheSource type="external" connectionId="5"/>
  <cacheFields count="3">
    <cacheField name="[Measures].[Sum of Chi Phí- Dài]" caption="Sum of Chi Phí- Dài" numFmtId="0" hierarchy="24" level="32767"/>
    <cacheField name="[Table_Raw_Data___dài].[Chi nhánh].[Chi nhánh]" caption="Chi nhánh" numFmtId="0" hierarchy="1" level="1">
      <sharedItems count="3">
        <s v="DN"/>
        <s v="HCM"/>
        <s v="HN"/>
      </sharedItems>
    </cacheField>
    <cacheField name="[Table_Raw_Data___dài].[Tháng].[Tháng]" caption="Tháng" numFmtId="0" level="1">
      <sharedItems containsSemiMixedTypes="0" containsString="0" containsNumber="1" containsInteger="1" minValue="4" maxValue="6" count="3">
        <n v="4"/>
        <n v="5"/>
        <n v="6"/>
      </sharedItems>
      <extLst>
        <ext xmlns:x15="http://schemas.microsoft.com/office/spreadsheetml/2010/11/main" uri="{4F2E5C28-24EA-4eb8-9CBF-B6C8F9C3D259}">
          <x15:cachedUniqueNames>
            <x15:cachedUniqueName index="0" name="[Table_Raw_Data___dài].[Tháng].&amp;[4]"/>
            <x15:cachedUniqueName index="1" name="[Table_Raw_Data___dài].[Tháng].&amp;[5]"/>
            <x15:cachedUniqueName index="2" name="[Table_Raw_Data___dài].[Tháng].&amp;[6]"/>
          </x15:cachedUniqueNames>
        </ext>
      </extLst>
    </cacheField>
  </cacheFields>
  <cacheHierarchies count="30">
    <cacheHierarchy uniqueName="[Table_Raw_Data___dài].[Tháng]" caption="Tháng" attribute="1" defaultMemberUniqueName="[Table_Raw_Data___dài].[Tháng].[All]" allUniqueName="[Table_Raw_Data___dài].[Tháng].[All]" dimensionUniqueName="[Table_Raw_Data___dài]" displayFolder="" count="2" memberValueDatatype="20" unbalanced="0">
      <fieldsUsage count="2">
        <fieldUsage x="-1"/>
        <fieldUsage x="2"/>
      </fieldsUsage>
    </cacheHierarchy>
    <cacheHierarchy uniqueName="[Table_Raw_Data___dài].[Chi nhánh]" caption="Chi nhánh" attribute="1" defaultMemberUniqueName="[Table_Raw_Data___dài].[Chi nhánh].[All]" allUniqueName="[Table_Raw_Data___dài].[Chi nhánh].[All]" dimensionUniqueName="[Table_Raw_Data___dài]" displayFolder="" count="2" memberValueDatatype="130" unbalanced="0">
      <fieldsUsage count="2">
        <fieldUsage x="-1"/>
        <fieldUsage x="1"/>
      </fieldsUsage>
    </cacheHierarchy>
    <cacheHierarchy uniqueName="[Table_Raw_Data___dài].[Nhà vận tải]" caption="Nhà vận tải" attribute="1" defaultMemberUniqueName="[Table_Raw_Data___dài].[Nhà vận tải].[All]" allUniqueName="[Table_Raw_Data___dài].[Nhà vận tải].[All]" dimensionUniqueName="[Table_Raw_Data___dài]" displayFolder="" count="0" memberValueDatatype="130" unbalanced="0"/>
    <cacheHierarchy uniqueName="[Table_Raw_Data___dài].[Chi Phí- Dài]" caption="Chi Phí- Dài" attribute="1" defaultMemberUniqueName="[Table_Raw_Data___dài].[Chi Phí- Dài].[All]" allUniqueName="[Table_Raw_Data___dài].[Chi Phí- Dài].[All]" dimensionUniqueName="[Table_Raw_Data___dài]" displayFolder="" count="0" memberValueDatatype="5" unbalanced="0"/>
    <cacheHierarchy uniqueName="[Table_Raw_Data___dài].[KPI-dài]" caption="KPI-dài" attribute="1" defaultMemberUniqueName="[Table_Raw_Data___dài].[KPI-dài].[All]" allUniqueName="[Table_Raw_Data___dài].[KPI-dài].[All]" dimensionUniqueName="[Table_Raw_Data___dài]" displayFolder="" count="0" memberValueDatatype="5" unbalanced="0"/>
    <cacheHierarchy uniqueName="[Table_Raw_Data___LTL].[Tháng]" caption="Tháng" attribute="1" defaultMemberUniqueName="[Table_Raw_Data___LTL].[Tháng].[All]" allUniqueName="[Table_Raw_Data___LTL].[Tháng].[All]" dimensionUniqueName="[Table_Raw_Data___LTL]" displayFolder="" count="0" memberValueDatatype="20" unbalanced="0"/>
    <cacheHierarchy uniqueName="[Table_Raw_Data___LTL].[Chi nhánh]" caption="Chi nhánh" attribute="1" defaultMemberUniqueName="[Table_Raw_Data___LTL].[Chi nhánh].[All]" allUniqueName="[Table_Raw_Data___LTL].[Chi nhánh].[All]" dimensionUniqueName="[Table_Raw_Data___LTL]" displayFolder="" count="0" memberValueDatatype="130" unbalanced="0"/>
    <cacheHierarchy uniqueName="[Table_Raw_Data___LTL].[Nhà vận tải]" caption="Nhà vận tải" attribute="1" defaultMemberUniqueName="[Table_Raw_Data___LTL].[Nhà vận tải].[All]" allUniqueName="[Table_Raw_Data___LTL].[Nhà vận tải].[All]" dimensionUniqueName="[Table_Raw_Data___LTL]" displayFolder="" count="0" memberValueDatatype="130" unbalanced="0"/>
    <cacheHierarchy uniqueName="[Table_Raw_Data___LTL].[Chi Phí - LTL]" caption="Chi Phí - LTL" attribute="1" defaultMemberUniqueName="[Table_Raw_Data___LTL].[Chi Phí - LTL].[All]" allUniqueName="[Table_Raw_Data___LTL].[Chi Phí - LTL].[All]" dimensionUniqueName="[Table_Raw_Data___LTL]" displayFolder="" count="0" memberValueDatatype="5" unbalanced="0"/>
    <cacheHierarchy uniqueName="[Table_Raw_Data___LTL].[KPI- LTL]" caption="KPI- LTL" attribute="1" defaultMemberUniqueName="[Table_Raw_Data___LTL].[KPI- LTL].[All]" allUniqueName="[Table_Raw_Data___LTL].[KPI- LTL].[All]" dimensionUniqueName="[Table_Raw_Data___LTL]" displayFolder="" count="0" memberValueDatatype="5" unbalanced="0"/>
    <cacheHierarchy uniqueName="[Table_Raw_Data__ngắn].[Tháng]" caption="Tháng" attribute="1" defaultMemberUniqueName="[Table_Raw_Data__ngắn].[Tháng].[All]" allUniqueName="[Table_Raw_Data__ngắn].[Tháng].[All]" dimensionUniqueName="[Table_Raw_Data__ngắn]" displayFolder="" count="0" memberValueDatatype="20" unbalanced="0"/>
    <cacheHierarchy uniqueName="[Table_Raw_Data__ngắn].[Chi nhánh]" caption="Chi nhánh" attribute="1" defaultMemberUniqueName="[Table_Raw_Data__ngắn].[Chi nhánh].[All]" allUniqueName="[Table_Raw_Data__ngắn].[Chi nhánh].[All]" dimensionUniqueName="[Table_Raw_Data__ngắn]" displayFolder="" count="0" memberValueDatatype="130" unbalanced="0"/>
    <cacheHierarchy uniqueName="[Table_Raw_Data__ngắn].[Nhà vận tải]" caption="Nhà vận tải" attribute="1" defaultMemberUniqueName="[Table_Raw_Data__ngắn].[Nhà vận tải].[All]" allUniqueName="[Table_Raw_Data__ngắn].[Nhà vận tải].[All]" dimensionUniqueName="[Table_Raw_Data__ngắn]" displayFolder="" count="0" memberValueDatatype="130" unbalanced="0"/>
    <cacheHierarchy uniqueName="[Table_Raw_Data__ngắn].[Chi Phí - ngắn]" caption="Chi Phí - ngắn" attribute="1" defaultMemberUniqueName="[Table_Raw_Data__ngắn].[Chi Phí - ngắn].[All]" allUniqueName="[Table_Raw_Data__ngắn].[Chi Phí - ngắn].[All]" dimensionUniqueName="[Table_Raw_Data__ngắn]" displayFolder="" count="0" memberValueDatatype="5" unbalanced="0"/>
    <cacheHierarchy uniqueName="[Table_Raw_Data__ngắn].[KPI- ngắn]" caption="KPI- ngắn" attribute="1" defaultMemberUniqueName="[Table_Raw_Data__ngắn].[KPI- ngắn].[All]" allUniqueName="[Table_Raw_Data__ngắn].[KPI- ngắn].[All]" dimensionUniqueName="[Table_Raw_Data__ngắn]" displayFolder="" count="0" memberValueDatatype="5" unbalanced="0"/>
    <cacheHierarchy uniqueName="[Measures].[Good]" caption="Good" measure="1" displayFolder="" measureGroup="Table_Raw_Data__ngắn" count="0"/>
    <cacheHierarchy uniqueName="[Measures].[Good.]" caption="Good." measure="1" displayFolder="" measureGroup="Table_Raw_Data__ngắn" count="0"/>
    <cacheHierarchy uniqueName="[Measures].[Need to improve]" caption="Need to improve" measure="1" displayFolder="" measureGroup="Table_Raw_Data__ngắn" count="0"/>
    <cacheHierarchy uniqueName="[Measures].[__XL_Count Table_Raw_Data__ngắn]" caption="__XL_Count Table_Raw_Data__ngắn" measure="1" displayFolder="" measureGroup="Table_Raw_Data__ngắn" count="0" hidden="1"/>
    <cacheHierarchy uniqueName="[Measures].[__XL_Count Table_Raw_Data___dài]" caption="__XL_Count Table_Raw_Data___dài" measure="1" displayFolder="" measureGroup="Table_Raw_Data___dài" count="0" hidden="1"/>
    <cacheHierarchy uniqueName="[Measures].[__XL_Count Table_Raw_Data___LTL]" caption="__XL_Count Table_Raw_Data___LTL" measure="1" displayFolder="" measureGroup="Table_Raw_Data___LTL" count="0" hidden="1"/>
    <cacheHierarchy uniqueName="[Measures].[__No measures defined]" caption="__No measures defined" measure="1" displayFolder="" count="0" hidden="1"/>
    <cacheHierarchy uniqueName="[Measures].[Average of KPI- ngắn]" caption="Average of KPI- ngắn" measure="1" displayFolder="" measureGroup="Table_Raw_Data__ngắn" count="0" hidden="1">
      <extLst>
        <ext xmlns:x15="http://schemas.microsoft.com/office/spreadsheetml/2010/11/main" uri="{B97F6D7D-B522-45F9-BDA1-12C45D357490}">
          <x15:cacheHierarchy aggregatedColumn="14"/>
        </ext>
      </extLst>
    </cacheHierarchy>
    <cacheHierarchy uniqueName="[Measures].[Sum of Chi Phí - ngắn]" caption="Sum of Chi Phí - ngắn" measure="1" displayFolder="" measureGroup="Table_Raw_Data__ngắn" count="0" hidden="1">
      <extLst>
        <ext xmlns:x15="http://schemas.microsoft.com/office/spreadsheetml/2010/11/main" uri="{B97F6D7D-B522-45F9-BDA1-12C45D357490}">
          <x15:cacheHierarchy aggregatedColumn="13"/>
        </ext>
      </extLst>
    </cacheHierarchy>
    <cacheHierarchy uniqueName="[Measures].[Sum of Chi Phí- Dài]" caption="Sum of Chi Phí- Dài" measure="1" displayFolder="" measureGroup="Table_Raw_Data___dài" count="0" oneField="1" hidden="1">
      <fieldsUsage count="1">
        <fieldUsage x="0"/>
      </fieldsUsage>
      <extLst>
        <ext xmlns:x15="http://schemas.microsoft.com/office/spreadsheetml/2010/11/main" uri="{B97F6D7D-B522-45F9-BDA1-12C45D357490}">
          <x15:cacheHierarchy aggregatedColumn="3"/>
        </ext>
      </extLst>
    </cacheHierarchy>
    <cacheHierarchy uniqueName="[Measures].[Sum of KPI-dài]" caption="Sum of KPI-dài" measure="1" displayFolder="" measureGroup="Table_Raw_Data___dài" count="0" hidden="1">
      <extLst>
        <ext xmlns:x15="http://schemas.microsoft.com/office/spreadsheetml/2010/11/main" uri="{B97F6D7D-B522-45F9-BDA1-12C45D357490}">
          <x15:cacheHierarchy aggregatedColumn="4"/>
        </ext>
      </extLst>
    </cacheHierarchy>
    <cacheHierarchy uniqueName="[Measures].[Average of KPI-dài]" caption="Average of KPI-dài" measure="1" displayFolder="" measureGroup="Table_Raw_Data___dài" count="0" hidden="1">
      <extLst>
        <ext xmlns:x15="http://schemas.microsoft.com/office/spreadsheetml/2010/11/main" uri="{B97F6D7D-B522-45F9-BDA1-12C45D357490}">
          <x15:cacheHierarchy aggregatedColumn="4"/>
        </ext>
      </extLst>
    </cacheHierarchy>
    <cacheHierarchy uniqueName="[Measures].[Sum of Chi Phí - LTL]" caption="Sum of Chi Phí - LTL" measure="1" displayFolder="" measureGroup="Table_Raw_Data___LTL" count="0" hidden="1">
      <extLst>
        <ext xmlns:x15="http://schemas.microsoft.com/office/spreadsheetml/2010/11/main" uri="{B97F6D7D-B522-45F9-BDA1-12C45D357490}">
          <x15:cacheHierarchy aggregatedColumn="8"/>
        </ext>
      </extLst>
    </cacheHierarchy>
    <cacheHierarchy uniqueName="[Measures].[Sum of KPI- LTL]" caption="Sum of KPI- LTL" measure="1" displayFolder="" measureGroup="Table_Raw_Data___LTL" count="0" hidden="1">
      <extLst>
        <ext xmlns:x15="http://schemas.microsoft.com/office/spreadsheetml/2010/11/main" uri="{B97F6D7D-B522-45F9-BDA1-12C45D357490}">
          <x15:cacheHierarchy aggregatedColumn="9"/>
        </ext>
      </extLst>
    </cacheHierarchy>
    <cacheHierarchy uniqueName="[Measures].[Average of KPI- LTL]" caption="Average of KPI- LTL" measure="1" displayFolder="" measureGroup="Table_Raw_Data___LTL" count="0" hidden="1">
      <extLst>
        <ext xmlns:x15="http://schemas.microsoft.com/office/spreadsheetml/2010/11/main" uri="{B97F6D7D-B522-45F9-BDA1-12C45D357490}">
          <x15:cacheHierarchy aggregatedColumn="9"/>
        </ext>
      </extLst>
    </cacheHierarchy>
  </cacheHierarchies>
  <kpis count="0"/>
  <dimensions count="4">
    <dimension measure="1" name="Measures" uniqueName="[Measures]" caption="Measures"/>
    <dimension name="Table_Raw_Data___dài" uniqueName="[Table_Raw_Data___dài]" caption="Table_Raw_Data___dài"/>
    <dimension name="Table_Raw_Data___LTL" uniqueName="[Table_Raw_Data___LTL]" caption="Table_Raw_Data___LTL"/>
    <dimension name="Table_Raw_Data__ngắn" uniqueName="[Table_Raw_Data__ngắn]" caption="Table_Raw_Data__ngắn"/>
  </dimensions>
  <measureGroups count="3">
    <measureGroup name="Table_Raw_Data___dài" caption="Table_Raw_Data___dài"/>
    <measureGroup name="Table_Raw_Data___LTL" caption="Table_Raw_Data___LTL"/>
    <measureGroup name="Table_Raw_Data__ngắn" caption="Table_Raw_Data__ngắn"/>
  </measureGroups>
  <maps count="3">
    <map measureGroup="0" dimension="1"/>
    <map measureGroup="1" dimension="2"/>
    <map measureGroup="2" dimension="3"/>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Nguyen Minh Tien" refreshedDate="45134.56451851852" backgroundQuery="1" createdVersion="8" refreshedVersion="8" minRefreshableVersion="3" recordCount="0" supportSubquery="1" supportAdvancedDrill="1" xr:uid="{BB1A34E3-AC32-41FA-A7D0-919471F1FD6E}">
  <cacheSource type="external" connectionId="5"/>
  <cacheFields count="3">
    <cacheField name="[Measures].[Sum of Chi Phí- Dài]" caption="Sum of Chi Phí- Dài" numFmtId="0" hierarchy="24" level="32767"/>
    <cacheField name="[Table_Raw_Data___dài].[Chi nhánh].[Chi nhánh]" caption="Chi nhánh" numFmtId="0" hierarchy="1" level="1">
      <sharedItems count="3">
        <s v="DN"/>
        <s v="HCM"/>
        <s v="HN"/>
      </sharedItems>
    </cacheField>
    <cacheField name="[Table_Raw_Data___dài].[Tháng].[Tháng]" caption="Tháng" numFmtId="0" level="1">
      <sharedItems containsSemiMixedTypes="0" containsString="0" containsNumber="1" containsInteger="1" minValue="4" maxValue="6" count="3">
        <n v="4"/>
        <n v="5"/>
        <n v="6"/>
      </sharedItems>
      <extLst>
        <ext xmlns:x15="http://schemas.microsoft.com/office/spreadsheetml/2010/11/main" uri="{4F2E5C28-24EA-4eb8-9CBF-B6C8F9C3D259}">
          <x15:cachedUniqueNames>
            <x15:cachedUniqueName index="0" name="[Table_Raw_Data___dài].[Tháng].&amp;[4]"/>
            <x15:cachedUniqueName index="1" name="[Table_Raw_Data___dài].[Tháng].&amp;[5]"/>
            <x15:cachedUniqueName index="2" name="[Table_Raw_Data___dài].[Tháng].&amp;[6]"/>
          </x15:cachedUniqueNames>
        </ext>
      </extLst>
    </cacheField>
  </cacheFields>
  <cacheHierarchies count="30">
    <cacheHierarchy uniqueName="[Table_Raw_Data___dài].[Tháng]" caption="Tháng" attribute="1" defaultMemberUniqueName="[Table_Raw_Data___dài].[Tháng].[All]" allUniqueName="[Table_Raw_Data___dài].[Tháng].[All]" dimensionUniqueName="[Table_Raw_Data___dài]" displayFolder="" count="2" memberValueDatatype="20" unbalanced="0">
      <fieldsUsage count="2">
        <fieldUsage x="-1"/>
        <fieldUsage x="2"/>
      </fieldsUsage>
    </cacheHierarchy>
    <cacheHierarchy uniqueName="[Table_Raw_Data___dài].[Chi nhánh]" caption="Chi nhánh" attribute="1" defaultMemberUniqueName="[Table_Raw_Data___dài].[Chi nhánh].[All]" allUniqueName="[Table_Raw_Data___dài].[Chi nhánh].[All]" dimensionUniqueName="[Table_Raw_Data___dài]" displayFolder="" count="2" memberValueDatatype="130" unbalanced="0">
      <fieldsUsage count="2">
        <fieldUsage x="-1"/>
        <fieldUsage x="1"/>
      </fieldsUsage>
    </cacheHierarchy>
    <cacheHierarchy uniqueName="[Table_Raw_Data___dài].[Nhà vận tải]" caption="Nhà vận tải" attribute="1" defaultMemberUniqueName="[Table_Raw_Data___dài].[Nhà vận tải].[All]" allUniqueName="[Table_Raw_Data___dài].[Nhà vận tải].[All]" dimensionUniqueName="[Table_Raw_Data___dài]" displayFolder="" count="0" memberValueDatatype="130" unbalanced="0"/>
    <cacheHierarchy uniqueName="[Table_Raw_Data___dài].[Chi Phí- Dài]" caption="Chi Phí- Dài" attribute="1" defaultMemberUniqueName="[Table_Raw_Data___dài].[Chi Phí- Dài].[All]" allUniqueName="[Table_Raw_Data___dài].[Chi Phí- Dài].[All]" dimensionUniqueName="[Table_Raw_Data___dài]" displayFolder="" count="0" memberValueDatatype="5" unbalanced="0"/>
    <cacheHierarchy uniqueName="[Table_Raw_Data___dài].[KPI-dài]" caption="KPI-dài" attribute="1" defaultMemberUniqueName="[Table_Raw_Data___dài].[KPI-dài].[All]" allUniqueName="[Table_Raw_Data___dài].[KPI-dài].[All]" dimensionUniqueName="[Table_Raw_Data___dài]" displayFolder="" count="0" memberValueDatatype="5" unbalanced="0"/>
    <cacheHierarchy uniqueName="[Table_Raw_Data___LTL].[Tháng]" caption="Tháng" attribute="1" defaultMemberUniqueName="[Table_Raw_Data___LTL].[Tháng].[All]" allUniqueName="[Table_Raw_Data___LTL].[Tháng].[All]" dimensionUniqueName="[Table_Raw_Data___LTL]" displayFolder="" count="0" memberValueDatatype="20" unbalanced="0"/>
    <cacheHierarchy uniqueName="[Table_Raw_Data___LTL].[Chi nhánh]" caption="Chi nhánh" attribute="1" defaultMemberUniqueName="[Table_Raw_Data___LTL].[Chi nhánh].[All]" allUniqueName="[Table_Raw_Data___LTL].[Chi nhánh].[All]" dimensionUniqueName="[Table_Raw_Data___LTL]" displayFolder="" count="0" memberValueDatatype="130" unbalanced="0"/>
    <cacheHierarchy uniqueName="[Table_Raw_Data___LTL].[Nhà vận tải]" caption="Nhà vận tải" attribute="1" defaultMemberUniqueName="[Table_Raw_Data___LTL].[Nhà vận tải].[All]" allUniqueName="[Table_Raw_Data___LTL].[Nhà vận tải].[All]" dimensionUniqueName="[Table_Raw_Data___LTL]" displayFolder="" count="0" memberValueDatatype="130" unbalanced="0"/>
    <cacheHierarchy uniqueName="[Table_Raw_Data___LTL].[Chi Phí - LTL]" caption="Chi Phí - LTL" attribute="1" defaultMemberUniqueName="[Table_Raw_Data___LTL].[Chi Phí - LTL].[All]" allUniqueName="[Table_Raw_Data___LTL].[Chi Phí - LTL].[All]" dimensionUniqueName="[Table_Raw_Data___LTL]" displayFolder="" count="0" memberValueDatatype="5" unbalanced="0"/>
    <cacheHierarchy uniqueName="[Table_Raw_Data___LTL].[KPI- LTL]" caption="KPI- LTL" attribute="1" defaultMemberUniqueName="[Table_Raw_Data___LTL].[KPI- LTL].[All]" allUniqueName="[Table_Raw_Data___LTL].[KPI- LTL].[All]" dimensionUniqueName="[Table_Raw_Data___LTL]" displayFolder="" count="0" memberValueDatatype="5" unbalanced="0"/>
    <cacheHierarchy uniqueName="[Table_Raw_Data__ngắn].[Tháng]" caption="Tháng" attribute="1" defaultMemberUniqueName="[Table_Raw_Data__ngắn].[Tháng].[All]" allUniqueName="[Table_Raw_Data__ngắn].[Tháng].[All]" dimensionUniqueName="[Table_Raw_Data__ngắn]" displayFolder="" count="0" memberValueDatatype="20" unbalanced="0"/>
    <cacheHierarchy uniqueName="[Table_Raw_Data__ngắn].[Chi nhánh]" caption="Chi nhánh" attribute="1" defaultMemberUniqueName="[Table_Raw_Data__ngắn].[Chi nhánh].[All]" allUniqueName="[Table_Raw_Data__ngắn].[Chi nhánh].[All]" dimensionUniqueName="[Table_Raw_Data__ngắn]" displayFolder="" count="0" memberValueDatatype="130" unbalanced="0"/>
    <cacheHierarchy uniqueName="[Table_Raw_Data__ngắn].[Nhà vận tải]" caption="Nhà vận tải" attribute="1" defaultMemberUniqueName="[Table_Raw_Data__ngắn].[Nhà vận tải].[All]" allUniqueName="[Table_Raw_Data__ngắn].[Nhà vận tải].[All]" dimensionUniqueName="[Table_Raw_Data__ngắn]" displayFolder="" count="0" memberValueDatatype="130" unbalanced="0"/>
    <cacheHierarchy uniqueName="[Table_Raw_Data__ngắn].[Chi Phí - ngắn]" caption="Chi Phí - ngắn" attribute="1" defaultMemberUniqueName="[Table_Raw_Data__ngắn].[Chi Phí - ngắn].[All]" allUniqueName="[Table_Raw_Data__ngắn].[Chi Phí - ngắn].[All]" dimensionUniqueName="[Table_Raw_Data__ngắn]" displayFolder="" count="0" memberValueDatatype="5" unbalanced="0"/>
    <cacheHierarchy uniqueName="[Table_Raw_Data__ngắn].[KPI- ngắn]" caption="KPI- ngắn" attribute="1" defaultMemberUniqueName="[Table_Raw_Data__ngắn].[KPI- ngắn].[All]" allUniqueName="[Table_Raw_Data__ngắn].[KPI- ngắn].[All]" dimensionUniqueName="[Table_Raw_Data__ngắn]" displayFolder="" count="0" memberValueDatatype="5" unbalanced="0"/>
    <cacheHierarchy uniqueName="[Measures].[Good]" caption="Good" measure="1" displayFolder="" measureGroup="Table_Raw_Data__ngắn" count="0"/>
    <cacheHierarchy uniqueName="[Measures].[Good.]" caption="Good." measure="1" displayFolder="" measureGroup="Table_Raw_Data__ngắn" count="0"/>
    <cacheHierarchy uniqueName="[Measures].[Need to improve]" caption="Need to improve" measure="1" displayFolder="" measureGroup="Table_Raw_Data__ngắn" count="0"/>
    <cacheHierarchy uniqueName="[Measures].[__XL_Count Table_Raw_Data__ngắn]" caption="__XL_Count Table_Raw_Data__ngắn" measure="1" displayFolder="" measureGroup="Table_Raw_Data__ngắn" count="0" hidden="1"/>
    <cacheHierarchy uniqueName="[Measures].[__XL_Count Table_Raw_Data___dài]" caption="__XL_Count Table_Raw_Data___dài" measure="1" displayFolder="" measureGroup="Table_Raw_Data___dài" count="0" hidden="1"/>
    <cacheHierarchy uniqueName="[Measures].[__XL_Count Table_Raw_Data___LTL]" caption="__XL_Count Table_Raw_Data___LTL" measure="1" displayFolder="" measureGroup="Table_Raw_Data___LTL" count="0" hidden="1"/>
    <cacheHierarchy uniqueName="[Measures].[__No measures defined]" caption="__No measures defined" measure="1" displayFolder="" count="0" hidden="1"/>
    <cacheHierarchy uniqueName="[Measures].[Average of KPI- ngắn]" caption="Average of KPI- ngắn" measure="1" displayFolder="" measureGroup="Table_Raw_Data__ngắn" count="0" hidden="1">
      <extLst>
        <ext xmlns:x15="http://schemas.microsoft.com/office/spreadsheetml/2010/11/main" uri="{B97F6D7D-B522-45F9-BDA1-12C45D357490}">
          <x15:cacheHierarchy aggregatedColumn="14"/>
        </ext>
      </extLst>
    </cacheHierarchy>
    <cacheHierarchy uniqueName="[Measures].[Sum of Chi Phí - ngắn]" caption="Sum of Chi Phí - ngắn" measure="1" displayFolder="" measureGroup="Table_Raw_Data__ngắn" count="0" hidden="1">
      <extLst>
        <ext xmlns:x15="http://schemas.microsoft.com/office/spreadsheetml/2010/11/main" uri="{B97F6D7D-B522-45F9-BDA1-12C45D357490}">
          <x15:cacheHierarchy aggregatedColumn="13"/>
        </ext>
      </extLst>
    </cacheHierarchy>
    <cacheHierarchy uniqueName="[Measures].[Sum of Chi Phí- Dài]" caption="Sum of Chi Phí- Dài" measure="1" displayFolder="" measureGroup="Table_Raw_Data___dài" count="0" oneField="1" hidden="1">
      <fieldsUsage count="1">
        <fieldUsage x="0"/>
      </fieldsUsage>
      <extLst>
        <ext xmlns:x15="http://schemas.microsoft.com/office/spreadsheetml/2010/11/main" uri="{B97F6D7D-B522-45F9-BDA1-12C45D357490}">
          <x15:cacheHierarchy aggregatedColumn="3"/>
        </ext>
      </extLst>
    </cacheHierarchy>
    <cacheHierarchy uniqueName="[Measures].[Sum of KPI-dài]" caption="Sum of KPI-dài" measure="1" displayFolder="" measureGroup="Table_Raw_Data___dài" count="0" hidden="1">
      <extLst>
        <ext xmlns:x15="http://schemas.microsoft.com/office/spreadsheetml/2010/11/main" uri="{B97F6D7D-B522-45F9-BDA1-12C45D357490}">
          <x15:cacheHierarchy aggregatedColumn="4"/>
        </ext>
      </extLst>
    </cacheHierarchy>
    <cacheHierarchy uniqueName="[Measures].[Average of KPI-dài]" caption="Average of KPI-dài" measure="1" displayFolder="" measureGroup="Table_Raw_Data___dài" count="0" hidden="1">
      <extLst>
        <ext xmlns:x15="http://schemas.microsoft.com/office/spreadsheetml/2010/11/main" uri="{B97F6D7D-B522-45F9-BDA1-12C45D357490}">
          <x15:cacheHierarchy aggregatedColumn="4"/>
        </ext>
      </extLst>
    </cacheHierarchy>
    <cacheHierarchy uniqueName="[Measures].[Sum of Chi Phí - LTL]" caption="Sum of Chi Phí - LTL" measure="1" displayFolder="" measureGroup="Table_Raw_Data___LTL" count="0" hidden="1">
      <extLst>
        <ext xmlns:x15="http://schemas.microsoft.com/office/spreadsheetml/2010/11/main" uri="{B97F6D7D-B522-45F9-BDA1-12C45D357490}">
          <x15:cacheHierarchy aggregatedColumn="8"/>
        </ext>
      </extLst>
    </cacheHierarchy>
    <cacheHierarchy uniqueName="[Measures].[Sum of KPI- LTL]" caption="Sum of KPI- LTL" measure="1" displayFolder="" measureGroup="Table_Raw_Data___LTL" count="0" hidden="1">
      <extLst>
        <ext xmlns:x15="http://schemas.microsoft.com/office/spreadsheetml/2010/11/main" uri="{B97F6D7D-B522-45F9-BDA1-12C45D357490}">
          <x15:cacheHierarchy aggregatedColumn="9"/>
        </ext>
      </extLst>
    </cacheHierarchy>
    <cacheHierarchy uniqueName="[Measures].[Average of KPI- LTL]" caption="Average of KPI- LTL" measure="1" displayFolder="" measureGroup="Table_Raw_Data___LTL" count="0" hidden="1">
      <extLst>
        <ext xmlns:x15="http://schemas.microsoft.com/office/spreadsheetml/2010/11/main" uri="{B97F6D7D-B522-45F9-BDA1-12C45D357490}">
          <x15:cacheHierarchy aggregatedColumn="9"/>
        </ext>
      </extLst>
    </cacheHierarchy>
  </cacheHierarchies>
  <kpis count="0"/>
  <dimensions count="4">
    <dimension measure="1" name="Measures" uniqueName="[Measures]" caption="Measures"/>
    <dimension name="Table_Raw_Data___dài" uniqueName="[Table_Raw_Data___dài]" caption="Table_Raw_Data___dài"/>
    <dimension name="Table_Raw_Data___LTL" uniqueName="[Table_Raw_Data___LTL]" caption="Table_Raw_Data___LTL"/>
    <dimension name="Table_Raw_Data__ngắn" uniqueName="[Table_Raw_Data__ngắn]" caption="Table_Raw_Data__ngắn"/>
  </dimensions>
  <measureGroups count="3">
    <measureGroup name="Table_Raw_Data___dài" caption="Table_Raw_Data___dài"/>
    <measureGroup name="Table_Raw_Data___LTL" caption="Table_Raw_Data___LTL"/>
    <measureGroup name="Table_Raw_Data__ngắn" caption="Table_Raw_Data__ngắn"/>
  </measureGroups>
  <maps count="3">
    <map measureGroup="0" dimension="1"/>
    <map measureGroup="1" dimension="2"/>
    <map measureGroup="2" dimension="3"/>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guyen Minh Tien" refreshedDate="45134.564518634259" createdVersion="8" refreshedVersion="8" minRefreshableVersion="3" recordCount="57" xr:uid="{22ACE30D-EB95-4747-8C5F-D42B8BA97B54}">
  <cacheSource type="worksheet">
    <worksheetSource name="Table_Raw_Data__ngắn"/>
  </cacheSource>
  <cacheFields count="5">
    <cacheField name="Tháng" numFmtId="0">
      <sharedItems containsSemiMixedTypes="0" containsString="0" containsNumber="1" containsInteger="1" minValue="4" maxValue="6" count="3">
        <n v="4"/>
        <n v="5"/>
        <n v="6"/>
      </sharedItems>
    </cacheField>
    <cacheField name="Chi nhánh" numFmtId="0">
      <sharedItems count="7">
        <s v="DN"/>
        <s v="HP"/>
        <s v="NA"/>
        <s v="KH"/>
        <s v="CT"/>
        <s v="HN"/>
        <s v="HCM"/>
      </sharedItems>
    </cacheField>
    <cacheField name="Nhà vận tải" numFmtId="0">
      <sharedItems/>
    </cacheField>
    <cacheField name="Chi Phí - ngắn" numFmtId="0">
      <sharedItems containsSemiMixedTypes="0" containsString="0" containsNumber="1" minValue="4255000" maxValue="782294463.1207881"/>
    </cacheField>
    <cacheField name="KPI- ngắn" numFmtId="0">
      <sharedItems containsSemiMixedTypes="0" containsString="0" containsNumber="1" minValue="0.85899999999999999" maxValue="0.97699999999999998"/>
    </cacheField>
  </cacheFields>
  <extLst>
    <ext xmlns:x14="http://schemas.microsoft.com/office/spreadsheetml/2009/9/main" uri="{725AE2AE-9491-48be-B2B4-4EB974FC3084}">
      <x14:pivotCacheDefinition pivotCacheId="1471960889"/>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Nguyen Duy Hoa" refreshedDate="45135.588728472219" backgroundQuery="1" createdVersion="8" refreshedVersion="8" minRefreshableVersion="3" recordCount="0" supportSubquery="1" supportAdvancedDrill="1" xr:uid="{554EDEEA-032C-43AF-964D-7B848B730F38}">
  <cacheSource type="external" connectionId="5"/>
  <cacheFields count="6">
    <cacheField name="[Measures].[Average of KPI- ngắn]" caption="Average of KPI- ngắn" numFmtId="0" hierarchy="22" level="32767"/>
    <cacheField name="[Table_Raw_Data__ngắn].[Nhà vận tải].[Nhà vận tải]" caption="Nhà vận tải" numFmtId="0" hierarchy="12" level="1">
      <sharedItems count="16">
        <s v="ANH MINH"/>
        <s v="CITY"/>
        <s v="GHP"/>
        <s v="HOI TU"/>
        <s v="KHANG THINH"/>
        <s v="LOGITEM"/>
        <s v="NHAT PHONG VAN"/>
        <s v="NHAT QUANG"/>
        <s v="NHAT TIN"/>
        <s v="NHUT LIEN"/>
        <s v="PHUONG ANH"/>
        <s v="PHUONG DUC"/>
        <s v="SPNL"/>
        <s v="THUAN THANH TIN"/>
        <s v="THUY ANH"/>
        <s v="VINAFCO"/>
      </sharedItems>
    </cacheField>
    <cacheField name="[Measures].[Good]" caption="Good" numFmtId="0" hierarchy="15" level="32767"/>
    <cacheField name="[Measures].[Good.]" caption="Good." numFmtId="0" hierarchy="16" level="32767"/>
    <cacheField name="[Measures].[Need to improve]" caption="Need to improve" numFmtId="0" hierarchy="17" level="32767"/>
    <cacheField name="[Table_Raw_Data__ngắn].[Tháng].[Tháng]" caption="Tháng" numFmtId="0" hierarchy="10" level="1">
      <sharedItems containsSemiMixedTypes="0" containsNonDate="0" containsString="0"/>
    </cacheField>
  </cacheFields>
  <cacheHierarchies count="30">
    <cacheHierarchy uniqueName="[Table_Raw_Data___dài].[Tháng]" caption="Tháng" attribute="1" defaultMemberUniqueName="[Table_Raw_Data___dài].[Tháng].[All]" allUniqueName="[Table_Raw_Data___dài].[Tháng].[All]" dimensionUniqueName="[Table_Raw_Data___dài]" displayFolder="" count="0" memberValueDatatype="20" unbalanced="0"/>
    <cacheHierarchy uniqueName="[Table_Raw_Data___dài].[Chi nhánh]" caption="Chi nhánh" attribute="1" defaultMemberUniqueName="[Table_Raw_Data___dài].[Chi nhánh].[All]" allUniqueName="[Table_Raw_Data___dài].[Chi nhánh].[All]" dimensionUniqueName="[Table_Raw_Data___dài]" displayFolder="" count="0" memberValueDatatype="130" unbalanced="0"/>
    <cacheHierarchy uniqueName="[Table_Raw_Data___dài].[Nhà vận tải]" caption="Nhà vận tải" attribute="1" defaultMemberUniqueName="[Table_Raw_Data___dài].[Nhà vận tải].[All]" allUniqueName="[Table_Raw_Data___dài].[Nhà vận tải].[All]" dimensionUniqueName="[Table_Raw_Data___dài]" displayFolder="" count="0" memberValueDatatype="130" unbalanced="0"/>
    <cacheHierarchy uniqueName="[Table_Raw_Data___dài].[Chi Phí- Dài]" caption="Chi Phí- Dài" attribute="1" defaultMemberUniqueName="[Table_Raw_Data___dài].[Chi Phí- Dài].[All]" allUniqueName="[Table_Raw_Data___dài].[Chi Phí- Dài].[All]" dimensionUniqueName="[Table_Raw_Data___dài]" displayFolder="" count="0" memberValueDatatype="5" unbalanced="0"/>
    <cacheHierarchy uniqueName="[Table_Raw_Data___dài].[KPI-dài]" caption="KPI-dài" attribute="1" defaultMemberUniqueName="[Table_Raw_Data___dài].[KPI-dài].[All]" allUniqueName="[Table_Raw_Data___dài].[KPI-dài].[All]" dimensionUniqueName="[Table_Raw_Data___dài]" displayFolder="" count="0" memberValueDatatype="5" unbalanced="0"/>
    <cacheHierarchy uniqueName="[Table_Raw_Data___LTL].[Tháng]" caption="Tháng" attribute="1" defaultMemberUniqueName="[Table_Raw_Data___LTL].[Tháng].[All]" allUniqueName="[Table_Raw_Data___LTL].[Tháng].[All]" dimensionUniqueName="[Table_Raw_Data___LTL]" displayFolder="" count="0" memberValueDatatype="20" unbalanced="0"/>
    <cacheHierarchy uniqueName="[Table_Raw_Data___LTL].[Chi nhánh]" caption="Chi nhánh" attribute="1" defaultMemberUniqueName="[Table_Raw_Data___LTL].[Chi nhánh].[All]" allUniqueName="[Table_Raw_Data___LTL].[Chi nhánh].[All]" dimensionUniqueName="[Table_Raw_Data___LTL]" displayFolder="" count="0" memberValueDatatype="130" unbalanced="0"/>
    <cacheHierarchy uniqueName="[Table_Raw_Data___LTL].[Nhà vận tải]" caption="Nhà vận tải" attribute="1" defaultMemberUniqueName="[Table_Raw_Data___LTL].[Nhà vận tải].[All]" allUniqueName="[Table_Raw_Data___LTL].[Nhà vận tải].[All]" dimensionUniqueName="[Table_Raw_Data___LTL]" displayFolder="" count="0" memberValueDatatype="130" unbalanced="0"/>
    <cacheHierarchy uniqueName="[Table_Raw_Data___LTL].[Chi Phí - LTL]" caption="Chi Phí - LTL" attribute="1" defaultMemberUniqueName="[Table_Raw_Data___LTL].[Chi Phí - LTL].[All]" allUniqueName="[Table_Raw_Data___LTL].[Chi Phí - LTL].[All]" dimensionUniqueName="[Table_Raw_Data___LTL]" displayFolder="" count="0" memberValueDatatype="5" unbalanced="0"/>
    <cacheHierarchy uniqueName="[Table_Raw_Data___LTL].[KPI- LTL]" caption="KPI- LTL" attribute="1" defaultMemberUniqueName="[Table_Raw_Data___LTL].[KPI- LTL].[All]" allUniqueName="[Table_Raw_Data___LTL].[KPI- LTL].[All]" dimensionUniqueName="[Table_Raw_Data___LTL]" displayFolder="" count="0" memberValueDatatype="5" unbalanced="0"/>
    <cacheHierarchy uniqueName="[Table_Raw_Data__ngắn].[Tháng]" caption="Tháng" attribute="1" defaultMemberUniqueName="[Table_Raw_Data__ngắn].[Tháng].[All]" allUniqueName="[Table_Raw_Data__ngắn].[Tháng].[All]" dimensionUniqueName="[Table_Raw_Data__ngắn]" displayFolder="" count="2" memberValueDatatype="20" unbalanced="0">
      <fieldsUsage count="2">
        <fieldUsage x="-1"/>
        <fieldUsage x="5"/>
      </fieldsUsage>
    </cacheHierarchy>
    <cacheHierarchy uniqueName="[Table_Raw_Data__ngắn].[Chi nhánh]" caption="Chi nhánh" attribute="1" defaultMemberUniqueName="[Table_Raw_Data__ngắn].[Chi nhánh].[All]" allUniqueName="[Table_Raw_Data__ngắn].[Chi nhánh].[All]" dimensionUniqueName="[Table_Raw_Data__ngắn]" displayFolder="" count="2" memberValueDatatype="130" unbalanced="0"/>
    <cacheHierarchy uniqueName="[Table_Raw_Data__ngắn].[Nhà vận tải]" caption="Nhà vận tải" attribute="1" defaultMemberUniqueName="[Table_Raw_Data__ngắn].[Nhà vận tải].[All]" allUniqueName="[Table_Raw_Data__ngắn].[Nhà vận tải].[All]" dimensionUniqueName="[Table_Raw_Data__ngắn]" displayFolder="" count="2" memberValueDatatype="130" unbalanced="0">
      <fieldsUsage count="2">
        <fieldUsage x="-1"/>
        <fieldUsage x="1"/>
      </fieldsUsage>
    </cacheHierarchy>
    <cacheHierarchy uniqueName="[Table_Raw_Data__ngắn].[Chi Phí - ngắn]" caption="Chi Phí - ngắn" attribute="1" defaultMemberUniqueName="[Table_Raw_Data__ngắn].[Chi Phí - ngắn].[All]" allUniqueName="[Table_Raw_Data__ngắn].[Chi Phí - ngắn].[All]" dimensionUniqueName="[Table_Raw_Data__ngắn]" displayFolder="" count="0" memberValueDatatype="5" unbalanced="0"/>
    <cacheHierarchy uniqueName="[Table_Raw_Data__ngắn].[KPI- ngắn]" caption="KPI- ngắn" attribute="1" defaultMemberUniqueName="[Table_Raw_Data__ngắn].[KPI- ngắn].[All]" allUniqueName="[Table_Raw_Data__ngắn].[KPI- ngắn].[All]" dimensionUniqueName="[Table_Raw_Data__ngắn]" displayFolder="" count="0" memberValueDatatype="5" unbalanced="0"/>
    <cacheHierarchy uniqueName="[Measures].[Good]" caption="Good" measure="1" displayFolder="" measureGroup="Table_Raw_Data__ngắn" count="0" oneField="1">
      <fieldsUsage count="1">
        <fieldUsage x="2"/>
      </fieldsUsage>
    </cacheHierarchy>
    <cacheHierarchy uniqueName="[Measures].[Good.]" caption="Good." measure="1" displayFolder="" measureGroup="Table_Raw_Data__ngắn" count="0" oneField="1">
      <fieldsUsage count="1">
        <fieldUsage x="3"/>
      </fieldsUsage>
    </cacheHierarchy>
    <cacheHierarchy uniqueName="[Measures].[Need to improve]" caption="Need to improve" measure="1" displayFolder="" measureGroup="Table_Raw_Data__ngắn" count="0" oneField="1">
      <fieldsUsage count="1">
        <fieldUsage x="4"/>
      </fieldsUsage>
    </cacheHierarchy>
    <cacheHierarchy uniqueName="[Measures].[__XL_Count Table_Raw_Data__ngắn]" caption="__XL_Count Table_Raw_Data__ngắn" measure="1" displayFolder="" measureGroup="Table_Raw_Data__ngắn" count="0" hidden="1"/>
    <cacheHierarchy uniqueName="[Measures].[__XL_Count Table_Raw_Data___dài]" caption="__XL_Count Table_Raw_Data___dài" measure="1" displayFolder="" measureGroup="Table_Raw_Data___dài" count="0" hidden="1"/>
    <cacheHierarchy uniqueName="[Measures].[__XL_Count Table_Raw_Data___LTL]" caption="__XL_Count Table_Raw_Data___LTL" measure="1" displayFolder="" measureGroup="Table_Raw_Data___LTL" count="0" hidden="1"/>
    <cacheHierarchy uniqueName="[Measures].[__No measures defined]" caption="__No measures defined" measure="1" displayFolder="" count="0" hidden="1"/>
    <cacheHierarchy uniqueName="[Measures].[Average of KPI- ngắn]" caption="Average of KPI- ngắn" measure="1" displayFolder="" measureGroup="Table_Raw_Data__ngắn" count="0" oneField="1" hidden="1">
      <fieldsUsage count="1">
        <fieldUsage x="0"/>
      </fieldsUsage>
      <extLst>
        <ext xmlns:x15="http://schemas.microsoft.com/office/spreadsheetml/2010/11/main" uri="{B97F6D7D-B522-45F9-BDA1-12C45D357490}">
          <x15:cacheHierarchy aggregatedColumn="14"/>
        </ext>
      </extLst>
    </cacheHierarchy>
    <cacheHierarchy uniqueName="[Measures].[Sum of Chi Phí - ngắn]" caption="Sum of Chi Phí - ngắn" measure="1" displayFolder="" measureGroup="Table_Raw_Data__ngắn" count="0" hidden="1">
      <extLst>
        <ext xmlns:x15="http://schemas.microsoft.com/office/spreadsheetml/2010/11/main" uri="{B97F6D7D-B522-45F9-BDA1-12C45D357490}">
          <x15:cacheHierarchy aggregatedColumn="13"/>
        </ext>
      </extLst>
    </cacheHierarchy>
    <cacheHierarchy uniqueName="[Measures].[Sum of Chi Phí- Dài]" caption="Sum of Chi Phí- Dài" measure="1" displayFolder="" measureGroup="Table_Raw_Data___dài" count="0" hidden="1">
      <extLst>
        <ext xmlns:x15="http://schemas.microsoft.com/office/spreadsheetml/2010/11/main" uri="{B97F6D7D-B522-45F9-BDA1-12C45D357490}">
          <x15:cacheHierarchy aggregatedColumn="3"/>
        </ext>
      </extLst>
    </cacheHierarchy>
    <cacheHierarchy uniqueName="[Measures].[Sum of KPI-dài]" caption="Sum of KPI-dài" measure="1" displayFolder="" measureGroup="Table_Raw_Data___dài" count="0" hidden="1">
      <extLst>
        <ext xmlns:x15="http://schemas.microsoft.com/office/spreadsheetml/2010/11/main" uri="{B97F6D7D-B522-45F9-BDA1-12C45D357490}">
          <x15:cacheHierarchy aggregatedColumn="4"/>
        </ext>
      </extLst>
    </cacheHierarchy>
    <cacheHierarchy uniqueName="[Measures].[Average of KPI-dài]" caption="Average of KPI-dài" measure="1" displayFolder="" measureGroup="Table_Raw_Data___dài" count="0" hidden="1">
      <extLst>
        <ext xmlns:x15="http://schemas.microsoft.com/office/spreadsheetml/2010/11/main" uri="{B97F6D7D-B522-45F9-BDA1-12C45D357490}">
          <x15:cacheHierarchy aggregatedColumn="4"/>
        </ext>
      </extLst>
    </cacheHierarchy>
    <cacheHierarchy uniqueName="[Measures].[Sum of Chi Phí - LTL]" caption="Sum of Chi Phí - LTL" measure="1" displayFolder="" measureGroup="Table_Raw_Data___LTL" count="0" hidden="1">
      <extLst>
        <ext xmlns:x15="http://schemas.microsoft.com/office/spreadsheetml/2010/11/main" uri="{B97F6D7D-B522-45F9-BDA1-12C45D357490}">
          <x15:cacheHierarchy aggregatedColumn="8"/>
        </ext>
      </extLst>
    </cacheHierarchy>
    <cacheHierarchy uniqueName="[Measures].[Sum of KPI- LTL]" caption="Sum of KPI- LTL" measure="1" displayFolder="" measureGroup="Table_Raw_Data___LTL" count="0" hidden="1">
      <extLst>
        <ext xmlns:x15="http://schemas.microsoft.com/office/spreadsheetml/2010/11/main" uri="{B97F6D7D-B522-45F9-BDA1-12C45D357490}">
          <x15:cacheHierarchy aggregatedColumn="9"/>
        </ext>
      </extLst>
    </cacheHierarchy>
    <cacheHierarchy uniqueName="[Measures].[Average of KPI- LTL]" caption="Average of KPI- LTL" measure="1" displayFolder="" measureGroup="Table_Raw_Data___LTL" count="0" hidden="1">
      <extLst>
        <ext xmlns:x15="http://schemas.microsoft.com/office/spreadsheetml/2010/11/main" uri="{B97F6D7D-B522-45F9-BDA1-12C45D357490}">
          <x15:cacheHierarchy aggregatedColumn="9"/>
        </ext>
      </extLst>
    </cacheHierarchy>
  </cacheHierarchies>
  <kpis count="0"/>
  <dimensions count="4">
    <dimension measure="1" name="Measures" uniqueName="[Measures]" caption="Measures"/>
    <dimension name="Table_Raw_Data___dài" uniqueName="[Table_Raw_Data___dài]" caption="Table_Raw_Data___dài"/>
    <dimension name="Table_Raw_Data___LTL" uniqueName="[Table_Raw_Data___LTL]" caption="Table_Raw_Data___LTL"/>
    <dimension name="Table_Raw_Data__ngắn" uniqueName="[Table_Raw_Data__ngắn]" caption="Table_Raw_Data__ngắn"/>
  </dimensions>
  <measureGroups count="3">
    <measureGroup name="Table_Raw_Data___dài" caption="Table_Raw_Data___dài"/>
    <measureGroup name="Table_Raw_Data___LTL" caption="Table_Raw_Data___LTL"/>
    <measureGroup name="Table_Raw_Data__ngắn" caption="Table_Raw_Data__ngắn"/>
  </measureGroups>
  <maps count="3">
    <map measureGroup="0" dimension="1"/>
    <map measureGroup="1" dimension="2"/>
    <map measureGroup="2" dimension="3"/>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Nguyen Duy Hoa" refreshedDate="45135.588728935189" backgroundQuery="1" createdVersion="8" refreshedVersion="8" minRefreshableVersion="3" recordCount="0" supportSubquery="1" supportAdvancedDrill="1" xr:uid="{278783BE-27F1-4A98-99E3-C7A28CE0AD71}">
  <cacheSource type="external" connectionId="5"/>
  <cacheFields count="4">
    <cacheField name="[Table_Raw_Data__ngắn].[Nhà vận tải].[Nhà vận tải]" caption="Nhà vận tải" numFmtId="0" hierarchy="12" level="1">
      <sharedItems count="16">
        <s v="ANH MINH"/>
        <s v="CITY"/>
        <s v="GHP"/>
        <s v="HOI TU"/>
        <s v="KHANG THINH"/>
        <s v="LOGITEM"/>
        <s v="NHAT PHONG VAN"/>
        <s v="NHAT QUANG"/>
        <s v="NHAT TIN"/>
        <s v="NHUT LIEN"/>
        <s v="PHUONG ANH"/>
        <s v="PHUONG DUC"/>
        <s v="SPNL"/>
        <s v="THUAN THANH TIN"/>
        <s v="THUY ANH"/>
        <s v="VINAFCO"/>
      </sharedItems>
    </cacheField>
    <cacheField name="[Table_Raw_Data__ngắn].[Tháng].[Tháng]" caption="Tháng" numFmtId="0" hierarchy="10" level="1">
      <sharedItems containsSemiMixedTypes="0" containsNonDate="0" containsString="0"/>
    </cacheField>
    <cacheField name="[Table_Raw_Data__ngắn].[Chi nhánh].[Chi nhánh]" caption="Chi nhánh" numFmtId="0" hierarchy="11" level="1">
      <sharedItems containsSemiMixedTypes="0" containsNonDate="0" containsString="0"/>
    </cacheField>
    <cacheField name="[Measures].[Sum of Chi Phí - ngắn]" caption="Sum of Chi Phí - ngắn" numFmtId="0" hierarchy="23" level="32767"/>
  </cacheFields>
  <cacheHierarchies count="30">
    <cacheHierarchy uniqueName="[Table_Raw_Data___dài].[Tháng]" caption="Tháng" attribute="1" defaultMemberUniqueName="[Table_Raw_Data___dài].[Tháng].[All]" allUniqueName="[Table_Raw_Data___dài].[Tháng].[All]" dimensionUniqueName="[Table_Raw_Data___dài]" displayFolder="" count="0" memberValueDatatype="20" unbalanced="0"/>
    <cacheHierarchy uniqueName="[Table_Raw_Data___dài].[Chi nhánh]" caption="Chi nhánh" attribute="1" defaultMemberUniqueName="[Table_Raw_Data___dài].[Chi nhánh].[All]" allUniqueName="[Table_Raw_Data___dài].[Chi nhánh].[All]" dimensionUniqueName="[Table_Raw_Data___dài]" displayFolder="" count="0" memberValueDatatype="130" unbalanced="0"/>
    <cacheHierarchy uniqueName="[Table_Raw_Data___dài].[Nhà vận tải]" caption="Nhà vận tải" attribute="1" defaultMemberUniqueName="[Table_Raw_Data___dài].[Nhà vận tải].[All]" allUniqueName="[Table_Raw_Data___dài].[Nhà vận tải].[All]" dimensionUniqueName="[Table_Raw_Data___dài]" displayFolder="" count="0" memberValueDatatype="130" unbalanced="0"/>
    <cacheHierarchy uniqueName="[Table_Raw_Data___dài].[Chi Phí- Dài]" caption="Chi Phí- Dài" attribute="1" defaultMemberUniqueName="[Table_Raw_Data___dài].[Chi Phí- Dài].[All]" allUniqueName="[Table_Raw_Data___dài].[Chi Phí- Dài].[All]" dimensionUniqueName="[Table_Raw_Data___dài]" displayFolder="" count="0" memberValueDatatype="5" unbalanced="0"/>
    <cacheHierarchy uniqueName="[Table_Raw_Data___dài].[KPI-dài]" caption="KPI-dài" attribute="1" defaultMemberUniqueName="[Table_Raw_Data___dài].[KPI-dài].[All]" allUniqueName="[Table_Raw_Data___dài].[KPI-dài].[All]" dimensionUniqueName="[Table_Raw_Data___dài]" displayFolder="" count="0" memberValueDatatype="5" unbalanced="0"/>
    <cacheHierarchy uniqueName="[Table_Raw_Data___LTL].[Tháng]" caption="Tháng" attribute="1" defaultMemberUniqueName="[Table_Raw_Data___LTL].[Tháng].[All]" allUniqueName="[Table_Raw_Data___LTL].[Tháng].[All]" dimensionUniqueName="[Table_Raw_Data___LTL]" displayFolder="" count="0" memberValueDatatype="20" unbalanced="0"/>
    <cacheHierarchy uniqueName="[Table_Raw_Data___LTL].[Chi nhánh]" caption="Chi nhánh" attribute="1" defaultMemberUniqueName="[Table_Raw_Data___LTL].[Chi nhánh].[All]" allUniqueName="[Table_Raw_Data___LTL].[Chi nhánh].[All]" dimensionUniqueName="[Table_Raw_Data___LTL]" displayFolder="" count="0" memberValueDatatype="130" unbalanced="0"/>
    <cacheHierarchy uniqueName="[Table_Raw_Data___LTL].[Nhà vận tải]" caption="Nhà vận tải" attribute="1" defaultMemberUniqueName="[Table_Raw_Data___LTL].[Nhà vận tải].[All]" allUniqueName="[Table_Raw_Data___LTL].[Nhà vận tải].[All]" dimensionUniqueName="[Table_Raw_Data___LTL]" displayFolder="" count="0" memberValueDatatype="130" unbalanced="0"/>
    <cacheHierarchy uniqueName="[Table_Raw_Data___LTL].[Chi Phí - LTL]" caption="Chi Phí - LTL" attribute="1" defaultMemberUniqueName="[Table_Raw_Data___LTL].[Chi Phí - LTL].[All]" allUniqueName="[Table_Raw_Data___LTL].[Chi Phí - LTL].[All]" dimensionUniqueName="[Table_Raw_Data___LTL]" displayFolder="" count="0" memberValueDatatype="5" unbalanced="0"/>
    <cacheHierarchy uniqueName="[Table_Raw_Data___LTL].[KPI- LTL]" caption="KPI- LTL" attribute="1" defaultMemberUniqueName="[Table_Raw_Data___LTL].[KPI- LTL].[All]" allUniqueName="[Table_Raw_Data___LTL].[KPI- LTL].[All]" dimensionUniqueName="[Table_Raw_Data___LTL]" displayFolder="" count="0" memberValueDatatype="5" unbalanced="0"/>
    <cacheHierarchy uniqueName="[Table_Raw_Data__ngắn].[Tháng]" caption="Tháng" attribute="1" defaultMemberUniqueName="[Table_Raw_Data__ngắn].[Tháng].[All]" allUniqueName="[Table_Raw_Data__ngắn].[Tháng].[All]" dimensionUniqueName="[Table_Raw_Data__ngắn]" displayFolder="" count="2" memberValueDatatype="20" unbalanced="0">
      <fieldsUsage count="2">
        <fieldUsage x="-1"/>
        <fieldUsage x="1"/>
      </fieldsUsage>
    </cacheHierarchy>
    <cacheHierarchy uniqueName="[Table_Raw_Data__ngắn].[Chi nhánh]" caption="Chi nhánh" attribute="1" defaultMemberUniqueName="[Table_Raw_Data__ngắn].[Chi nhánh].[All]" allUniqueName="[Table_Raw_Data__ngắn].[Chi nhánh].[All]" dimensionUniqueName="[Table_Raw_Data__ngắn]" displayFolder="" count="2" memberValueDatatype="130" unbalanced="0">
      <fieldsUsage count="2">
        <fieldUsage x="-1"/>
        <fieldUsage x="2"/>
      </fieldsUsage>
    </cacheHierarchy>
    <cacheHierarchy uniqueName="[Table_Raw_Data__ngắn].[Nhà vận tải]" caption="Nhà vận tải" attribute="1" defaultMemberUniqueName="[Table_Raw_Data__ngắn].[Nhà vận tải].[All]" allUniqueName="[Table_Raw_Data__ngắn].[Nhà vận tải].[All]" dimensionUniqueName="[Table_Raw_Data__ngắn]" displayFolder="" count="2" memberValueDatatype="130" unbalanced="0">
      <fieldsUsage count="2">
        <fieldUsage x="-1"/>
        <fieldUsage x="0"/>
      </fieldsUsage>
    </cacheHierarchy>
    <cacheHierarchy uniqueName="[Table_Raw_Data__ngắn].[Chi Phí - ngắn]" caption="Chi Phí - ngắn" attribute="1" defaultMemberUniqueName="[Table_Raw_Data__ngắn].[Chi Phí - ngắn].[All]" allUniqueName="[Table_Raw_Data__ngắn].[Chi Phí - ngắn].[All]" dimensionUniqueName="[Table_Raw_Data__ngắn]" displayFolder="" count="0" memberValueDatatype="5" unbalanced="0"/>
    <cacheHierarchy uniqueName="[Table_Raw_Data__ngắn].[KPI- ngắn]" caption="KPI- ngắn" attribute="1" defaultMemberUniqueName="[Table_Raw_Data__ngắn].[KPI- ngắn].[All]" allUniqueName="[Table_Raw_Data__ngắn].[KPI- ngắn].[All]" dimensionUniqueName="[Table_Raw_Data__ngắn]" displayFolder="" count="0" memberValueDatatype="5" unbalanced="0"/>
    <cacheHierarchy uniqueName="[Measures].[Good]" caption="Good" measure="1" displayFolder="" measureGroup="Table_Raw_Data__ngắn" count="0"/>
    <cacheHierarchy uniqueName="[Measures].[Good.]" caption="Good." measure="1" displayFolder="" measureGroup="Table_Raw_Data__ngắn" count="0"/>
    <cacheHierarchy uniqueName="[Measures].[Need to improve]" caption="Need to improve" measure="1" displayFolder="" measureGroup="Table_Raw_Data__ngắn" count="0"/>
    <cacheHierarchy uniqueName="[Measures].[__XL_Count Table_Raw_Data__ngắn]" caption="__XL_Count Table_Raw_Data__ngắn" measure="1" displayFolder="" measureGroup="Table_Raw_Data__ngắn" count="0" hidden="1"/>
    <cacheHierarchy uniqueName="[Measures].[__XL_Count Table_Raw_Data___dài]" caption="__XL_Count Table_Raw_Data___dài" measure="1" displayFolder="" measureGroup="Table_Raw_Data___dài" count="0" hidden="1"/>
    <cacheHierarchy uniqueName="[Measures].[__XL_Count Table_Raw_Data___LTL]" caption="__XL_Count Table_Raw_Data___LTL" measure="1" displayFolder="" measureGroup="Table_Raw_Data___LTL" count="0" hidden="1"/>
    <cacheHierarchy uniqueName="[Measures].[__No measures defined]" caption="__No measures defined" measure="1" displayFolder="" count="0" hidden="1"/>
    <cacheHierarchy uniqueName="[Measures].[Average of KPI- ngắn]" caption="Average of KPI- ngắn" measure="1" displayFolder="" measureGroup="Table_Raw_Data__ngắn" count="0" hidden="1">
      <extLst>
        <ext xmlns:x15="http://schemas.microsoft.com/office/spreadsheetml/2010/11/main" uri="{B97F6D7D-B522-45F9-BDA1-12C45D357490}">
          <x15:cacheHierarchy aggregatedColumn="14"/>
        </ext>
      </extLst>
    </cacheHierarchy>
    <cacheHierarchy uniqueName="[Measures].[Sum of Chi Phí - ngắn]" caption="Sum of Chi Phí - ngắn" measure="1" displayFolder="" measureGroup="Table_Raw_Data__ngắn" count="0" oneField="1" hidden="1">
      <fieldsUsage count="1">
        <fieldUsage x="3"/>
      </fieldsUsage>
      <extLst>
        <ext xmlns:x15="http://schemas.microsoft.com/office/spreadsheetml/2010/11/main" uri="{B97F6D7D-B522-45F9-BDA1-12C45D357490}">
          <x15:cacheHierarchy aggregatedColumn="13"/>
        </ext>
      </extLst>
    </cacheHierarchy>
    <cacheHierarchy uniqueName="[Measures].[Sum of Chi Phí- Dài]" caption="Sum of Chi Phí- Dài" measure="1" displayFolder="" measureGroup="Table_Raw_Data___dài" count="0" hidden="1">
      <extLst>
        <ext xmlns:x15="http://schemas.microsoft.com/office/spreadsheetml/2010/11/main" uri="{B97F6D7D-B522-45F9-BDA1-12C45D357490}">
          <x15:cacheHierarchy aggregatedColumn="3"/>
        </ext>
      </extLst>
    </cacheHierarchy>
    <cacheHierarchy uniqueName="[Measures].[Sum of KPI-dài]" caption="Sum of KPI-dài" measure="1" displayFolder="" measureGroup="Table_Raw_Data___dài" count="0" hidden="1">
      <extLst>
        <ext xmlns:x15="http://schemas.microsoft.com/office/spreadsheetml/2010/11/main" uri="{B97F6D7D-B522-45F9-BDA1-12C45D357490}">
          <x15:cacheHierarchy aggregatedColumn="4"/>
        </ext>
      </extLst>
    </cacheHierarchy>
    <cacheHierarchy uniqueName="[Measures].[Average of KPI-dài]" caption="Average of KPI-dài" measure="1" displayFolder="" measureGroup="Table_Raw_Data___dài" count="0" hidden="1">
      <extLst>
        <ext xmlns:x15="http://schemas.microsoft.com/office/spreadsheetml/2010/11/main" uri="{B97F6D7D-B522-45F9-BDA1-12C45D357490}">
          <x15:cacheHierarchy aggregatedColumn="4"/>
        </ext>
      </extLst>
    </cacheHierarchy>
    <cacheHierarchy uniqueName="[Measures].[Sum of Chi Phí - LTL]" caption="Sum of Chi Phí - LTL" measure="1" displayFolder="" measureGroup="Table_Raw_Data___LTL" count="0" hidden="1">
      <extLst>
        <ext xmlns:x15="http://schemas.microsoft.com/office/spreadsheetml/2010/11/main" uri="{B97F6D7D-B522-45F9-BDA1-12C45D357490}">
          <x15:cacheHierarchy aggregatedColumn="8"/>
        </ext>
      </extLst>
    </cacheHierarchy>
    <cacheHierarchy uniqueName="[Measures].[Sum of KPI- LTL]" caption="Sum of KPI- LTL" measure="1" displayFolder="" measureGroup="Table_Raw_Data___LTL" count="0" hidden="1">
      <extLst>
        <ext xmlns:x15="http://schemas.microsoft.com/office/spreadsheetml/2010/11/main" uri="{B97F6D7D-B522-45F9-BDA1-12C45D357490}">
          <x15:cacheHierarchy aggregatedColumn="9"/>
        </ext>
      </extLst>
    </cacheHierarchy>
    <cacheHierarchy uniqueName="[Measures].[Average of KPI- LTL]" caption="Average of KPI- LTL" measure="1" displayFolder="" measureGroup="Table_Raw_Data___LTL" count="0" hidden="1">
      <extLst>
        <ext xmlns:x15="http://schemas.microsoft.com/office/spreadsheetml/2010/11/main" uri="{B97F6D7D-B522-45F9-BDA1-12C45D357490}">
          <x15:cacheHierarchy aggregatedColumn="9"/>
        </ext>
      </extLst>
    </cacheHierarchy>
  </cacheHierarchies>
  <kpis count="0"/>
  <dimensions count="4">
    <dimension measure="1" name="Measures" uniqueName="[Measures]" caption="Measures"/>
    <dimension name="Table_Raw_Data___dài" uniqueName="[Table_Raw_Data___dài]" caption="Table_Raw_Data___dài"/>
    <dimension name="Table_Raw_Data___LTL" uniqueName="[Table_Raw_Data___LTL]" caption="Table_Raw_Data___LTL"/>
    <dimension name="Table_Raw_Data__ngắn" uniqueName="[Table_Raw_Data__ngắn]" caption="Table_Raw_Data__ngắn"/>
  </dimensions>
  <measureGroups count="3">
    <measureGroup name="Table_Raw_Data___dài" caption="Table_Raw_Data___dài"/>
    <measureGroup name="Table_Raw_Data___LTL" caption="Table_Raw_Data___LTL"/>
    <measureGroup name="Table_Raw_Data__ngắn" caption="Table_Raw_Data__ngắn"/>
  </measureGroups>
  <maps count="3">
    <map measureGroup="0" dimension="1"/>
    <map measureGroup="1" dimension="2"/>
    <map measureGroup="2" dimension="3"/>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Nguyen Duy Hoa" refreshedDate="45135.596418634261" backgroundQuery="1" createdVersion="8" refreshedVersion="8" minRefreshableVersion="3" recordCount="0" supportSubquery="1" supportAdvancedDrill="1" xr:uid="{21A661C2-3A22-4367-83FF-76DEEE7B73F1}">
  <cacheSource type="external" connectionId="5"/>
  <cacheFields count="3">
    <cacheField name="[Table_Raw_Data___LTL].[Tháng].[Tháng]" caption="Tháng" numFmtId="0" hierarchy="5" level="1">
      <sharedItems containsSemiMixedTypes="0" containsString="0" containsNumber="1" containsInteger="1" minValue="4" maxValue="6" count="3">
        <n v="4"/>
        <n v="5"/>
        <n v="6"/>
      </sharedItems>
      <extLst>
        <ext xmlns:x15="http://schemas.microsoft.com/office/spreadsheetml/2010/11/main" uri="{4F2E5C28-24EA-4eb8-9CBF-B6C8F9C3D259}">
          <x15:cachedUniqueNames>
            <x15:cachedUniqueName index="0" name="[Table_Raw_Data___LTL].[Tháng].&amp;[4]"/>
            <x15:cachedUniqueName index="1" name="[Table_Raw_Data___LTL].[Tháng].&amp;[5]"/>
            <x15:cachedUniqueName index="2" name="[Table_Raw_Data___LTL].[Tháng].&amp;[6]"/>
          </x15:cachedUniqueNames>
        </ext>
      </extLst>
    </cacheField>
    <cacheField name="[Table_Raw_Data___LTL].[Chi nhánh].[Chi nhánh]" caption="Chi nhánh" numFmtId="0" hierarchy="6" level="1">
      <sharedItems count="8">
        <s v="CT"/>
        <s v="DN"/>
        <s v="HCM"/>
        <s v="HN"/>
        <s v="HP"/>
        <s v="KH"/>
        <s v="NA"/>
        <s v="PC"/>
      </sharedItems>
    </cacheField>
    <cacheField name="[Measures].[Sum of Chi Phí - LTL]" caption="Sum of Chi Phí - LTL" numFmtId="0" hierarchy="27" level="32767"/>
  </cacheFields>
  <cacheHierarchies count="30">
    <cacheHierarchy uniqueName="[Table_Raw_Data___dài].[Tháng]" caption="Tháng" attribute="1" defaultMemberUniqueName="[Table_Raw_Data___dài].[Tháng].[All]" allUniqueName="[Table_Raw_Data___dài].[Tháng].[All]" dimensionUniqueName="[Table_Raw_Data___dài]" displayFolder="" count="0" memberValueDatatype="20" unbalanced="0"/>
    <cacheHierarchy uniqueName="[Table_Raw_Data___dài].[Chi nhánh]" caption="Chi nhánh" attribute="1" defaultMemberUniqueName="[Table_Raw_Data___dài].[Chi nhánh].[All]" allUniqueName="[Table_Raw_Data___dài].[Chi nhánh].[All]" dimensionUniqueName="[Table_Raw_Data___dài]" displayFolder="" count="0" memberValueDatatype="130" unbalanced="0"/>
    <cacheHierarchy uniqueName="[Table_Raw_Data___dài].[Nhà vận tải]" caption="Nhà vận tải" attribute="1" defaultMemberUniqueName="[Table_Raw_Data___dài].[Nhà vận tải].[All]" allUniqueName="[Table_Raw_Data___dài].[Nhà vận tải].[All]" dimensionUniqueName="[Table_Raw_Data___dài]" displayFolder="" count="0" memberValueDatatype="130" unbalanced="0"/>
    <cacheHierarchy uniqueName="[Table_Raw_Data___dài].[Chi Phí- Dài]" caption="Chi Phí- Dài" attribute="1" defaultMemberUniqueName="[Table_Raw_Data___dài].[Chi Phí- Dài].[All]" allUniqueName="[Table_Raw_Data___dài].[Chi Phí- Dài].[All]" dimensionUniqueName="[Table_Raw_Data___dài]" displayFolder="" count="0" memberValueDatatype="5" unbalanced="0"/>
    <cacheHierarchy uniqueName="[Table_Raw_Data___dài].[KPI-dài]" caption="KPI-dài" attribute="1" defaultMemberUniqueName="[Table_Raw_Data___dài].[KPI-dài].[All]" allUniqueName="[Table_Raw_Data___dài].[KPI-dài].[All]" dimensionUniqueName="[Table_Raw_Data___dài]" displayFolder="" count="0" memberValueDatatype="5" unbalanced="0"/>
    <cacheHierarchy uniqueName="[Table_Raw_Data___LTL].[Tháng]" caption="Tháng" attribute="1" defaultMemberUniqueName="[Table_Raw_Data___LTL].[Tháng].[All]" allUniqueName="[Table_Raw_Data___LTL].[Tháng].[All]" dimensionUniqueName="[Table_Raw_Data___LTL]" displayFolder="" count="2" memberValueDatatype="20" unbalanced="0">
      <fieldsUsage count="2">
        <fieldUsage x="-1"/>
        <fieldUsage x="0"/>
      </fieldsUsage>
    </cacheHierarchy>
    <cacheHierarchy uniqueName="[Table_Raw_Data___LTL].[Chi nhánh]" caption="Chi nhánh" attribute="1" defaultMemberUniqueName="[Table_Raw_Data___LTL].[Chi nhánh].[All]" allUniqueName="[Table_Raw_Data___LTL].[Chi nhánh].[All]" dimensionUniqueName="[Table_Raw_Data___LTL]" displayFolder="" count="2" memberValueDatatype="130" unbalanced="0">
      <fieldsUsage count="2">
        <fieldUsage x="-1"/>
        <fieldUsage x="1"/>
      </fieldsUsage>
    </cacheHierarchy>
    <cacheHierarchy uniqueName="[Table_Raw_Data___LTL].[Nhà vận tải]" caption="Nhà vận tải" attribute="1" defaultMemberUniqueName="[Table_Raw_Data___LTL].[Nhà vận tải].[All]" allUniqueName="[Table_Raw_Data___LTL].[Nhà vận tải].[All]" dimensionUniqueName="[Table_Raw_Data___LTL]" displayFolder="" count="0" memberValueDatatype="130" unbalanced="0"/>
    <cacheHierarchy uniqueName="[Table_Raw_Data___LTL].[Chi Phí - LTL]" caption="Chi Phí - LTL" attribute="1" defaultMemberUniqueName="[Table_Raw_Data___LTL].[Chi Phí - LTL].[All]" allUniqueName="[Table_Raw_Data___LTL].[Chi Phí - LTL].[All]" dimensionUniqueName="[Table_Raw_Data___LTL]" displayFolder="" count="0" memberValueDatatype="5" unbalanced="0"/>
    <cacheHierarchy uniqueName="[Table_Raw_Data___LTL].[KPI- LTL]" caption="KPI- LTL" attribute="1" defaultMemberUniqueName="[Table_Raw_Data___LTL].[KPI- LTL].[All]" allUniqueName="[Table_Raw_Data___LTL].[KPI- LTL].[All]" dimensionUniqueName="[Table_Raw_Data___LTL]" displayFolder="" count="0" memberValueDatatype="5" unbalanced="0"/>
    <cacheHierarchy uniqueName="[Table_Raw_Data__ngắn].[Tháng]" caption="Tháng" attribute="1" defaultMemberUniqueName="[Table_Raw_Data__ngắn].[Tháng].[All]" allUniqueName="[Table_Raw_Data__ngắn].[Tháng].[All]" dimensionUniqueName="[Table_Raw_Data__ngắn]" displayFolder="" count="0" memberValueDatatype="20" unbalanced="0"/>
    <cacheHierarchy uniqueName="[Table_Raw_Data__ngắn].[Chi nhánh]" caption="Chi nhánh" attribute="1" defaultMemberUniqueName="[Table_Raw_Data__ngắn].[Chi nhánh].[All]" allUniqueName="[Table_Raw_Data__ngắn].[Chi nhánh].[All]" dimensionUniqueName="[Table_Raw_Data__ngắn]" displayFolder="" count="0" memberValueDatatype="130" unbalanced="0"/>
    <cacheHierarchy uniqueName="[Table_Raw_Data__ngắn].[Nhà vận tải]" caption="Nhà vận tải" attribute="1" defaultMemberUniqueName="[Table_Raw_Data__ngắn].[Nhà vận tải].[All]" allUniqueName="[Table_Raw_Data__ngắn].[Nhà vận tải].[All]" dimensionUniqueName="[Table_Raw_Data__ngắn]" displayFolder="" count="0" memberValueDatatype="130" unbalanced="0"/>
    <cacheHierarchy uniqueName="[Table_Raw_Data__ngắn].[Chi Phí - ngắn]" caption="Chi Phí - ngắn" attribute="1" defaultMemberUniqueName="[Table_Raw_Data__ngắn].[Chi Phí - ngắn].[All]" allUniqueName="[Table_Raw_Data__ngắn].[Chi Phí - ngắn].[All]" dimensionUniqueName="[Table_Raw_Data__ngắn]" displayFolder="" count="0" memberValueDatatype="5" unbalanced="0"/>
    <cacheHierarchy uniqueName="[Table_Raw_Data__ngắn].[KPI- ngắn]" caption="KPI- ngắn" attribute="1" defaultMemberUniqueName="[Table_Raw_Data__ngắn].[KPI- ngắn].[All]" allUniqueName="[Table_Raw_Data__ngắn].[KPI- ngắn].[All]" dimensionUniqueName="[Table_Raw_Data__ngắn]" displayFolder="" count="0" memberValueDatatype="5" unbalanced="0"/>
    <cacheHierarchy uniqueName="[Measures].[Good]" caption="Good" measure="1" displayFolder="" measureGroup="Table_Raw_Data__ngắn" count="0"/>
    <cacheHierarchy uniqueName="[Measures].[Good.]" caption="Good." measure="1" displayFolder="" measureGroup="Table_Raw_Data__ngắn" count="0"/>
    <cacheHierarchy uniqueName="[Measures].[Need to improve]" caption="Need to improve" measure="1" displayFolder="" measureGroup="Table_Raw_Data__ngắn" count="0"/>
    <cacheHierarchy uniqueName="[Measures].[__XL_Count Table_Raw_Data__ngắn]" caption="__XL_Count Table_Raw_Data__ngắn" measure="1" displayFolder="" measureGroup="Table_Raw_Data__ngắn" count="0" hidden="1"/>
    <cacheHierarchy uniqueName="[Measures].[__XL_Count Table_Raw_Data___dài]" caption="__XL_Count Table_Raw_Data___dài" measure="1" displayFolder="" measureGroup="Table_Raw_Data___dài" count="0" hidden="1"/>
    <cacheHierarchy uniqueName="[Measures].[__XL_Count Table_Raw_Data___LTL]" caption="__XL_Count Table_Raw_Data___LTL" measure="1" displayFolder="" measureGroup="Table_Raw_Data___LTL" count="0" hidden="1"/>
    <cacheHierarchy uniqueName="[Measures].[__No measures defined]" caption="__No measures defined" measure="1" displayFolder="" count="0" hidden="1"/>
    <cacheHierarchy uniqueName="[Measures].[Average of KPI- ngắn]" caption="Average of KPI- ngắn" measure="1" displayFolder="" measureGroup="Table_Raw_Data__ngắn" count="0" hidden="1">
      <extLst>
        <ext xmlns:x15="http://schemas.microsoft.com/office/spreadsheetml/2010/11/main" uri="{B97F6D7D-B522-45F9-BDA1-12C45D357490}">
          <x15:cacheHierarchy aggregatedColumn="14"/>
        </ext>
      </extLst>
    </cacheHierarchy>
    <cacheHierarchy uniqueName="[Measures].[Sum of Chi Phí - ngắn]" caption="Sum of Chi Phí - ngắn" measure="1" displayFolder="" measureGroup="Table_Raw_Data__ngắn" count="0" hidden="1">
      <extLst>
        <ext xmlns:x15="http://schemas.microsoft.com/office/spreadsheetml/2010/11/main" uri="{B97F6D7D-B522-45F9-BDA1-12C45D357490}">
          <x15:cacheHierarchy aggregatedColumn="13"/>
        </ext>
      </extLst>
    </cacheHierarchy>
    <cacheHierarchy uniqueName="[Measures].[Sum of Chi Phí- Dài]" caption="Sum of Chi Phí- Dài" measure="1" displayFolder="" measureGroup="Table_Raw_Data___dài" count="0" hidden="1">
      <extLst>
        <ext xmlns:x15="http://schemas.microsoft.com/office/spreadsheetml/2010/11/main" uri="{B97F6D7D-B522-45F9-BDA1-12C45D357490}">
          <x15:cacheHierarchy aggregatedColumn="3"/>
        </ext>
      </extLst>
    </cacheHierarchy>
    <cacheHierarchy uniqueName="[Measures].[Sum of KPI-dài]" caption="Sum of KPI-dài" measure="1" displayFolder="" measureGroup="Table_Raw_Data___dài" count="0" hidden="1">
      <extLst>
        <ext xmlns:x15="http://schemas.microsoft.com/office/spreadsheetml/2010/11/main" uri="{B97F6D7D-B522-45F9-BDA1-12C45D357490}">
          <x15:cacheHierarchy aggregatedColumn="4"/>
        </ext>
      </extLst>
    </cacheHierarchy>
    <cacheHierarchy uniqueName="[Measures].[Average of KPI-dài]" caption="Average of KPI-dài" measure="1" displayFolder="" measureGroup="Table_Raw_Data___dài" count="0" hidden="1">
      <extLst>
        <ext xmlns:x15="http://schemas.microsoft.com/office/spreadsheetml/2010/11/main" uri="{B97F6D7D-B522-45F9-BDA1-12C45D357490}">
          <x15:cacheHierarchy aggregatedColumn="4"/>
        </ext>
      </extLst>
    </cacheHierarchy>
    <cacheHierarchy uniqueName="[Measures].[Sum of Chi Phí - LTL]" caption="Sum of Chi Phí - LTL" measure="1" displayFolder="" measureGroup="Table_Raw_Data___LTL" count="0" oneField="1" hidden="1">
      <fieldsUsage count="1">
        <fieldUsage x="2"/>
      </fieldsUsage>
      <extLst>
        <ext xmlns:x15="http://schemas.microsoft.com/office/spreadsheetml/2010/11/main" uri="{B97F6D7D-B522-45F9-BDA1-12C45D357490}">
          <x15:cacheHierarchy aggregatedColumn="8"/>
        </ext>
      </extLst>
    </cacheHierarchy>
    <cacheHierarchy uniqueName="[Measures].[Sum of KPI- LTL]" caption="Sum of KPI- LTL" measure="1" displayFolder="" measureGroup="Table_Raw_Data___LTL" count="0" hidden="1">
      <extLst>
        <ext xmlns:x15="http://schemas.microsoft.com/office/spreadsheetml/2010/11/main" uri="{B97F6D7D-B522-45F9-BDA1-12C45D357490}">
          <x15:cacheHierarchy aggregatedColumn="9"/>
        </ext>
      </extLst>
    </cacheHierarchy>
    <cacheHierarchy uniqueName="[Measures].[Average of KPI- LTL]" caption="Average of KPI- LTL" measure="1" displayFolder="" measureGroup="Table_Raw_Data___LTL" count="0" hidden="1">
      <extLst>
        <ext xmlns:x15="http://schemas.microsoft.com/office/spreadsheetml/2010/11/main" uri="{B97F6D7D-B522-45F9-BDA1-12C45D357490}">
          <x15:cacheHierarchy aggregatedColumn="9"/>
        </ext>
      </extLst>
    </cacheHierarchy>
  </cacheHierarchies>
  <kpis count="0"/>
  <dimensions count="4">
    <dimension measure="1" name="Measures" uniqueName="[Measures]" caption="Measures"/>
    <dimension name="Table_Raw_Data___dài" uniqueName="[Table_Raw_Data___dài]" caption="Table_Raw_Data___dài"/>
    <dimension name="Table_Raw_Data___LTL" uniqueName="[Table_Raw_Data___LTL]" caption="Table_Raw_Data___LTL"/>
    <dimension name="Table_Raw_Data__ngắn" uniqueName="[Table_Raw_Data__ngắn]" caption="Table_Raw_Data__ngắn"/>
  </dimensions>
  <measureGroups count="3">
    <measureGroup name="Table_Raw_Data___dài" caption="Table_Raw_Data___dài"/>
    <measureGroup name="Table_Raw_Data___LTL" caption="Table_Raw_Data___LTL"/>
    <measureGroup name="Table_Raw_Data__ngắn" caption="Table_Raw_Data__ngắn"/>
  </measureGroups>
  <maps count="3">
    <map measureGroup="0" dimension="1"/>
    <map measureGroup="1" dimension="2"/>
    <map measureGroup="2" dimension="3"/>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8.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Nguyen Duy Hoa" refreshedDate="45135.601034953703" backgroundQuery="1" createdVersion="8" refreshedVersion="8" minRefreshableVersion="3" recordCount="0" supportSubquery="1" supportAdvancedDrill="1" xr:uid="{BEC86063-1C0C-47A0-95E1-5C48E589845A}">
  <cacheSource type="external" connectionId="5"/>
  <cacheFields count="3">
    <cacheField name="[Measures].[Sum of Chi Phí - LTL]" caption="Sum of Chi Phí - LTL" numFmtId="0" hierarchy="27" level="32767"/>
    <cacheField name="[Table_Raw_Data___LTL].[Nhà vận tải].[Nhà vận tải]" caption="Nhà vận tải" numFmtId="0" hierarchy="7" level="1">
      <sharedItems count="6">
        <s v="NANG DONG"/>
        <s v="NETCO"/>
        <s v="NHAT QUANG"/>
        <s v="NHAT TIN"/>
        <s v="NHUT LIEN"/>
        <s v="TASETCO"/>
      </sharedItems>
    </cacheField>
    <cacheField name="[Table_Raw_Data___LTL].[Chi nhánh].[Chi nhánh]" caption="Chi nhánh" numFmtId="0" hierarchy="6" level="1">
      <sharedItems containsSemiMixedTypes="0" containsNonDate="0" containsString="0"/>
    </cacheField>
  </cacheFields>
  <cacheHierarchies count="30">
    <cacheHierarchy uniqueName="[Table_Raw_Data___dài].[Tháng]" caption="Tháng" attribute="1" defaultMemberUniqueName="[Table_Raw_Data___dài].[Tháng].[All]" allUniqueName="[Table_Raw_Data___dài].[Tháng].[All]" dimensionUniqueName="[Table_Raw_Data___dài]" displayFolder="" count="0" memberValueDatatype="20" unbalanced="0"/>
    <cacheHierarchy uniqueName="[Table_Raw_Data___dài].[Chi nhánh]" caption="Chi nhánh" attribute="1" defaultMemberUniqueName="[Table_Raw_Data___dài].[Chi nhánh].[All]" allUniqueName="[Table_Raw_Data___dài].[Chi nhánh].[All]" dimensionUniqueName="[Table_Raw_Data___dài]" displayFolder="" count="0" memberValueDatatype="130" unbalanced="0"/>
    <cacheHierarchy uniqueName="[Table_Raw_Data___dài].[Nhà vận tải]" caption="Nhà vận tải" attribute="1" defaultMemberUniqueName="[Table_Raw_Data___dài].[Nhà vận tải].[All]" allUniqueName="[Table_Raw_Data___dài].[Nhà vận tải].[All]" dimensionUniqueName="[Table_Raw_Data___dài]" displayFolder="" count="0" memberValueDatatype="130" unbalanced="0"/>
    <cacheHierarchy uniqueName="[Table_Raw_Data___dài].[Chi Phí- Dài]" caption="Chi Phí- Dài" attribute="1" defaultMemberUniqueName="[Table_Raw_Data___dài].[Chi Phí- Dài].[All]" allUniqueName="[Table_Raw_Data___dài].[Chi Phí- Dài].[All]" dimensionUniqueName="[Table_Raw_Data___dài]" displayFolder="" count="0" memberValueDatatype="5" unbalanced="0"/>
    <cacheHierarchy uniqueName="[Table_Raw_Data___dài].[KPI-dài]" caption="KPI-dài" attribute="1" defaultMemberUniqueName="[Table_Raw_Data___dài].[KPI-dài].[All]" allUniqueName="[Table_Raw_Data___dài].[KPI-dài].[All]" dimensionUniqueName="[Table_Raw_Data___dài]" displayFolder="" count="0" memberValueDatatype="5" unbalanced="0"/>
    <cacheHierarchy uniqueName="[Table_Raw_Data___LTL].[Tháng]" caption="Tháng" attribute="1" defaultMemberUniqueName="[Table_Raw_Data___LTL].[Tháng].[All]" allUniqueName="[Table_Raw_Data___LTL].[Tháng].[All]" dimensionUniqueName="[Table_Raw_Data___LTL]" displayFolder="" count="2" memberValueDatatype="20" unbalanced="0"/>
    <cacheHierarchy uniqueName="[Table_Raw_Data___LTL].[Chi nhánh]" caption="Chi nhánh" attribute="1" defaultMemberUniqueName="[Table_Raw_Data___LTL].[Chi nhánh].[All]" allUniqueName="[Table_Raw_Data___LTL].[Chi nhánh].[All]" dimensionUniqueName="[Table_Raw_Data___LTL]" displayFolder="" count="2" memberValueDatatype="130" unbalanced="0">
      <fieldsUsage count="2">
        <fieldUsage x="-1"/>
        <fieldUsage x="2"/>
      </fieldsUsage>
    </cacheHierarchy>
    <cacheHierarchy uniqueName="[Table_Raw_Data___LTL].[Nhà vận tải]" caption="Nhà vận tải" attribute="1" defaultMemberUniqueName="[Table_Raw_Data___LTL].[Nhà vận tải].[All]" allUniqueName="[Table_Raw_Data___LTL].[Nhà vận tải].[All]" dimensionUniqueName="[Table_Raw_Data___LTL]" displayFolder="" count="2" memberValueDatatype="130" unbalanced="0">
      <fieldsUsage count="2">
        <fieldUsage x="-1"/>
        <fieldUsage x="1"/>
      </fieldsUsage>
    </cacheHierarchy>
    <cacheHierarchy uniqueName="[Table_Raw_Data___LTL].[Chi Phí - LTL]" caption="Chi Phí - LTL" attribute="1" defaultMemberUniqueName="[Table_Raw_Data___LTL].[Chi Phí - LTL].[All]" allUniqueName="[Table_Raw_Data___LTL].[Chi Phí - LTL].[All]" dimensionUniqueName="[Table_Raw_Data___LTL]" displayFolder="" count="0" memberValueDatatype="5" unbalanced="0"/>
    <cacheHierarchy uniqueName="[Table_Raw_Data___LTL].[KPI- LTL]" caption="KPI- LTL" attribute="1" defaultMemberUniqueName="[Table_Raw_Data___LTL].[KPI- LTL].[All]" allUniqueName="[Table_Raw_Data___LTL].[KPI- LTL].[All]" dimensionUniqueName="[Table_Raw_Data___LTL]" displayFolder="" count="0" memberValueDatatype="5" unbalanced="0"/>
    <cacheHierarchy uniqueName="[Table_Raw_Data__ngắn].[Tháng]" caption="Tháng" attribute="1" defaultMemberUniqueName="[Table_Raw_Data__ngắn].[Tháng].[All]" allUniqueName="[Table_Raw_Data__ngắn].[Tháng].[All]" dimensionUniqueName="[Table_Raw_Data__ngắn]" displayFolder="" count="0" memberValueDatatype="20" unbalanced="0"/>
    <cacheHierarchy uniqueName="[Table_Raw_Data__ngắn].[Chi nhánh]" caption="Chi nhánh" attribute="1" defaultMemberUniqueName="[Table_Raw_Data__ngắn].[Chi nhánh].[All]" allUniqueName="[Table_Raw_Data__ngắn].[Chi nhánh].[All]" dimensionUniqueName="[Table_Raw_Data__ngắn]" displayFolder="" count="0" memberValueDatatype="130" unbalanced="0"/>
    <cacheHierarchy uniqueName="[Table_Raw_Data__ngắn].[Nhà vận tải]" caption="Nhà vận tải" attribute="1" defaultMemberUniqueName="[Table_Raw_Data__ngắn].[Nhà vận tải].[All]" allUniqueName="[Table_Raw_Data__ngắn].[Nhà vận tải].[All]" dimensionUniqueName="[Table_Raw_Data__ngắn]" displayFolder="" count="0" memberValueDatatype="130" unbalanced="0"/>
    <cacheHierarchy uniqueName="[Table_Raw_Data__ngắn].[Chi Phí - ngắn]" caption="Chi Phí - ngắn" attribute="1" defaultMemberUniqueName="[Table_Raw_Data__ngắn].[Chi Phí - ngắn].[All]" allUniqueName="[Table_Raw_Data__ngắn].[Chi Phí - ngắn].[All]" dimensionUniqueName="[Table_Raw_Data__ngắn]" displayFolder="" count="0" memberValueDatatype="5" unbalanced="0"/>
    <cacheHierarchy uniqueName="[Table_Raw_Data__ngắn].[KPI- ngắn]" caption="KPI- ngắn" attribute="1" defaultMemberUniqueName="[Table_Raw_Data__ngắn].[KPI- ngắn].[All]" allUniqueName="[Table_Raw_Data__ngắn].[KPI- ngắn].[All]" dimensionUniqueName="[Table_Raw_Data__ngắn]" displayFolder="" count="0" memberValueDatatype="5" unbalanced="0"/>
    <cacheHierarchy uniqueName="[Measures].[Good]" caption="Good" measure="1" displayFolder="" measureGroup="Table_Raw_Data__ngắn" count="0"/>
    <cacheHierarchy uniqueName="[Measures].[Good.]" caption="Good." measure="1" displayFolder="" measureGroup="Table_Raw_Data__ngắn" count="0"/>
    <cacheHierarchy uniqueName="[Measures].[Need to improve]" caption="Need to improve" measure="1" displayFolder="" measureGroup="Table_Raw_Data__ngắn" count="0"/>
    <cacheHierarchy uniqueName="[Measures].[__XL_Count Table_Raw_Data__ngắn]" caption="__XL_Count Table_Raw_Data__ngắn" measure="1" displayFolder="" measureGroup="Table_Raw_Data__ngắn" count="0" hidden="1"/>
    <cacheHierarchy uniqueName="[Measures].[__XL_Count Table_Raw_Data___dài]" caption="__XL_Count Table_Raw_Data___dài" measure="1" displayFolder="" measureGroup="Table_Raw_Data___dài" count="0" hidden="1"/>
    <cacheHierarchy uniqueName="[Measures].[__XL_Count Table_Raw_Data___LTL]" caption="__XL_Count Table_Raw_Data___LTL" measure="1" displayFolder="" measureGroup="Table_Raw_Data___LTL" count="0" hidden="1"/>
    <cacheHierarchy uniqueName="[Measures].[__No measures defined]" caption="__No measures defined" measure="1" displayFolder="" count="0" hidden="1"/>
    <cacheHierarchy uniqueName="[Measures].[Average of KPI- ngắn]" caption="Average of KPI- ngắn" measure="1" displayFolder="" measureGroup="Table_Raw_Data__ngắn" count="0" hidden="1">
      <extLst>
        <ext xmlns:x15="http://schemas.microsoft.com/office/spreadsheetml/2010/11/main" uri="{B97F6D7D-B522-45F9-BDA1-12C45D357490}">
          <x15:cacheHierarchy aggregatedColumn="14"/>
        </ext>
      </extLst>
    </cacheHierarchy>
    <cacheHierarchy uniqueName="[Measures].[Sum of Chi Phí - ngắn]" caption="Sum of Chi Phí - ngắn" measure="1" displayFolder="" measureGroup="Table_Raw_Data__ngắn" count="0" hidden="1">
      <extLst>
        <ext xmlns:x15="http://schemas.microsoft.com/office/spreadsheetml/2010/11/main" uri="{B97F6D7D-B522-45F9-BDA1-12C45D357490}">
          <x15:cacheHierarchy aggregatedColumn="13"/>
        </ext>
      </extLst>
    </cacheHierarchy>
    <cacheHierarchy uniqueName="[Measures].[Sum of Chi Phí- Dài]" caption="Sum of Chi Phí- Dài" measure="1" displayFolder="" measureGroup="Table_Raw_Data___dài" count="0" hidden="1">
      <extLst>
        <ext xmlns:x15="http://schemas.microsoft.com/office/spreadsheetml/2010/11/main" uri="{B97F6D7D-B522-45F9-BDA1-12C45D357490}">
          <x15:cacheHierarchy aggregatedColumn="3"/>
        </ext>
      </extLst>
    </cacheHierarchy>
    <cacheHierarchy uniqueName="[Measures].[Sum of KPI-dài]" caption="Sum of KPI-dài" measure="1" displayFolder="" measureGroup="Table_Raw_Data___dài" count="0" hidden="1">
      <extLst>
        <ext xmlns:x15="http://schemas.microsoft.com/office/spreadsheetml/2010/11/main" uri="{B97F6D7D-B522-45F9-BDA1-12C45D357490}">
          <x15:cacheHierarchy aggregatedColumn="4"/>
        </ext>
      </extLst>
    </cacheHierarchy>
    <cacheHierarchy uniqueName="[Measures].[Average of KPI-dài]" caption="Average of KPI-dài" measure="1" displayFolder="" measureGroup="Table_Raw_Data___dài" count="0" hidden="1">
      <extLst>
        <ext xmlns:x15="http://schemas.microsoft.com/office/spreadsheetml/2010/11/main" uri="{B97F6D7D-B522-45F9-BDA1-12C45D357490}">
          <x15:cacheHierarchy aggregatedColumn="4"/>
        </ext>
      </extLst>
    </cacheHierarchy>
    <cacheHierarchy uniqueName="[Measures].[Sum of Chi Phí - LTL]" caption="Sum of Chi Phí - LTL" measure="1" displayFolder="" measureGroup="Table_Raw_Data___LTL" count="0" oneField="1" hidden="1">
      <fieldsUsage count="1">
        <fieldUsage x="0"/>
      </fieldsUsage>
      <extLst>
        <ext xmlns:x15="http://schemas.microsoft.com/office/spreadsheetml/2010/11/main" uri="{B97F6D7D-B522-45F9-BDA1-12C45D357490}">
          <x15:cacheHierarchy aggregatedColumn="8"/>
        </ext>
      </extLst>
    </cacheHierarchy>
    <cacheHierarchy uniqueName="[Measures].[Sum of KPI- LTL]" caption="Sum of KPI- LTL" measure="1" displayFolder="" measureGroup="Table_Raw_Data___LTL" count="0" hidden="1">
      <extLst>
        <ext xmlns:x15="http://schemas.microsoft.com/office/spreadsheetml/2010/11/main" uri="{B97F6D7D-B522-45F9-BDA1-12C45D357490}">
          <x15:cacheHierarchy aggregatedColumn="9"/>
        </ext>
      </extLst>
    </cacheHierarchy>
    <cacheHierarchy uniqueName="[Measures].[Average of KPI- LTL]" caption="Average of KPI- LTL" measure="1" displayFolder="" measureGroup="Table_Raw_Data___LTL" count="0" hidden="1">
      <extLst>
        <ext xmlns:x15="http://schemas.microsoft.com/office/spreadsheetml/2010/11/main" uri="{B97F6D7D-B522-45F9-BDA1-12C45D357490}">
          <x15:cacheHierarchy aggregatedColumn="9"/>
        </ext>
      </extLst>
    </cacheHierarchy>
  </cacheHierarchies>
  <kpis count="0"/>
  <dimensions count="4">
    <dimension measure="1" name="Measures" uniqueName="[Measures]" caption="Measures"/>
    <dimension name="Table_Raw_Data___dài" uniqueName="[Table_Raw_Data___dài]" caption="Table_Raw_Data___dài"/>
    <dimension name="Table_Raw_Data___LTL" uniqueName="[Table_Raw_Data___LTL]" caption="Table_Raw_Data___LTL"/>
    <dimension name="Table_Raw_Data__ngắn" uniqueName="[Table_Raw_Data__ngắn]" caption="Table_Raw_Data__ngắn"/>
  </dimensions>
  <measureGroups count="3">
    <measureGroup name="Table_Raw_Data___dài" caption="Table_Raw_Data___dài"/>
    <measureGroup name="Table_Raw_Data___LTL" caption="Table_Raw_Data___LTL"/>
    <measureGroup name="Table_Raw_Data__ngắn" caption="Table_Raw_Data__ngắn"/>
  </measureGroups>
  <maps count="3">
    <map measureGroup="0" dimension="1"/>
    <map measureGroup="1" dimension="2"/>
    <map measureGroup="2" dimension="3"/>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9.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Nguyen Duy Hoa" refreshedDate="45135.601035300926" backgroundQuery="1" createdVersion="8" refreshedVersion="8" minRefreshableVersion="3" recordCount="0" supportSubquery="1" supportAdvancedDrill="1" xr:uid="{C255087C-188A-4668-B895-C21A6A12B5BC}">
  <cacheSource type="external" connectionId="5"/>
  <cacheFields count="6">
    <cacheField name="[Measures].[Good]" caption="Good" numFmtId="0" hierarchy="15" level="32767"/>
    <cacheField name="[Measures].[Average of KPI- LTL]" caption="Average of KPI- LTL" numFmtId="0" hierarchy="29" level="32767"/>
    <cacheField name="[Measures].[Good.]" caption="Good." numFmtId="0" hierarchy="16" level="32767"/>
    <cacheField name="[Measures].[Need to improve]" caption="Need to improve" numFmtId="0" hierarchy="17" level="32767"/>
    <cacheField name="[Table_Raw_Data___LTL].[Nhà vận tải].[Nhà vận tải]" caption="Nhà vận tải" numFmtId="0" hierarchy="7" level="1">
      <sharedItems count="6">
        <s v="NANG DONG"/>
        <s v="NETCO"/>
        <s v="NHAT QUANG"/>
        <s v="NHAT TIN"/>
        <s v="NHUT LIEN"/>
        <s v="TASETCO"/>
      </sharedItems>
    </cacheField>
    <cacheField name="[Table_Raw_Data___LTL].[Chi nhánh].[Chi nhánh]" caption="Chi nhánh" numFmtId="0" hierarchy="6" level="1">
      <sharedItems containsSemiMixedTypes="0" containsNonDate="0" containsString="0"/>
    </cacheField>
  </cacheFields>
  <cacheHierarchies count="30">
    <cacheHierarchy uniqueName="[Table_Raw_Data___dài].[Tháng]" caption="Tháng" attribute="1" defaultMemberUniqueName="[Table_Raw_Data___dài].[Tháng].[All]" allUniqueName="[Table_Raw_Data___dài].[Tháng].[All]" dimensionUniqueName="[Table_Raw_Data___dài]" displayFolder="" count="0" memberValueDatatype="20" unbalanced="0"/>
    <cacheHierarchy uniqueName="[Table_Raw_Data___dài].[Chi nhánh]" caption="Chi nhánh" attribute="1" defaultMemberUniqueName="[Table_Raw_Data___dài].[Chi nhánh].[All]" allUniqueName="[Table_Raw_Data___dài].[Chi nhánh].[All]" dimensionUniqueName="[Table_Raw_Data___dài]" displayFolder="" count="0" memberValueDatatype="130" unbalanced="0"/>
    <cacheHierarchy uniqueName="[Table_Raw_Data___dài].[Nhà vận tải]" caption="Nhà vận tải" attribute="1" defaultMemberUniqueName="[Table_Raw_Data___dài].[Nhà vận tải].[All]" allUniqueName="[Table_Raw_Data___dài].[Nhà vận tải].[All]" dimensionUniqueName="[Table_Raw_Data___dài]" displayFolder="" count="0" memberValueDatatype="130" unbalanced="0"/>
    <cacheHierarchy uniqueName="[Table_Raw_Data___dài].[Chi Phí- Dài]" caption="Chi Phí- Dài" attribute="1" defaultMemberUniqueName="[Table_Raw_Data___dài].[Chi Phí- Dài].[All]" allUniqueName="[Table_Raw_Data___dài].[Chi Phí- Dài].[All]" dimensionUniqueName="[Table_Raw_Data___dài]" displayFolder="" count="0" memberValueDatatype="5" unbalanced="0"/>
    <cacheHierarchy uniqueName="[Table_Raw_Data___dài].[KPI-dài]" caption="KPI-dài" attribute="1" defaultMemberUniqueName="[Table_Raw_Data___dài].[KPI-dài].[All]" allUniqueName="[Table_Raw_Data___dài].[KPI-dài].[All]" dimensionUniqueName="[Table_Raw_Data___dài]" displayFolder="" count="0" memberValueDatatype="5" unbalanced="0"/>
    <cacheHierarchy uniqueName="[Table_Raw_Data___LTL].[Tháng]" caption="Tháng" attribute="1" defaultMemberUniqueName="[Table_Raw_Data___LTL].[Tháng].[All]" allUniqueName="[Table_Raw_Data___LTL].[Tháng].[All]" dimensionUniqueName="[Table_Raw_Data___LTL]" displayFolder="" count="2" memberValueDatatype="20" unbalanced="0"/>
    <cacheHierarchy uniqueName="[Table_Raw_Data___LTL].[Chi nhánh]" caption="Chi nhánh" attribute="1" defaultMemberUniqueName="[Table_Raw_Data___LTL].[Chi nhánh].[All]" allUniqueName="[Table_Raw_Data___LTL].[Chi nhánh].[All]" dimensionUniqueName="[Table_Raw_Data___LTL]" displayFolder="" count="2" memberValueDatatype="130" unbalanced="0">
      <fieldsUsage count="2">
        <fieldUsage x="-1"/>
        <fieldUsage x="5"/>
      </fieldsUsage>
    </cacheHierarchy>
    <cacheHierarchy uniqueName="[Table_Raw_Data___LTL].[Nhà vận tải]" caption="Nhà vận tải" attribute="1" defaultMemberUniqueName="[Table_Raw_Data___LTL].[Nhà vận tải].[All]" allUniqueName="[Table_Raw_Data___LTL].[Nhà vận tải].[All]" dimensionUniqueName="[Table_Raw_Data___LTL]" displayFolder="" count="2" memberValueDatatype="130" unbalanced="0">
      <fieldsUsage count="2">
        <fieldUsage x="-1"/>
        <fieldUsage x="4"/>
      </fieldsUsage>
    </cacheHierarchy>
    <cacheHierarchy uniqueName="[Table_Raw_Data___LTL].[Chi Phí - LTL]" caption="Chi Phí - LTL" attribute="1" defaultMemberUniqueName="[Table_Raw_Data___LTL].[Chi Phí - LTL].[All]" allUniqueName="[Table_Raw_Data___LTL].[Chi Phí - LTL].[All]" dimensionUniqueName="[Table_Raw_Data___LTL]" displayFolder="" count="0" memberValueDatatype="5" unbalanced="0"/>
    <cacheHierarchy uniqueName="[Table_Raw_Data___LTL].[KPI- LTL]" caption="KPI- LTL" attribute="1" defaultMemberUniqueName="[Table_Raw_Data___LTL].[KPI- LTL].[All]" allUniqueName="[Table_Raw_Data___LTL].[KPI- LTL].[All]" dimensionUniqueName="[Table_Raw_Data___LTL]" displayFolder="" count="0" memberValueDatatype="5" unbalanced="0"/>
    <cacheHierarchy uniqueName="[Table_Raw_Data__ngắn].[Tháng]" caption="Tháng" attribute="1" defaultMemberUniqueName="[Table_Raw_Data__ngắn].[Tháng].[All]" allUniqueName="[Table_Raw_Data__ngắn].[Tháng].[All]" dimensionUniqueName="[Table_Raw_Data__ngắn]" displayFolder="" count="0" memberValueDatatype="20" unbalanced="0"/>
    <cacheHierarchy uniqueName="[Table_Raw_Data__ngắn].[Chi nhánh]" caption="Chi nhánh" attribute="1" defaultMemberUniqueName="[Table_Raw_Data__ngắn].[Chi nhánh].[All]" allUniqueName="[Table_Raw_Data__ngắn].[Chi nhánh].[All]" dimensionUniqueName="[Table_Raw_Data__ngắn]" displayFolder="" count="0" memberValueDatatype="130" unbalanced="0"/>
    <cacheHierarchy uniqueName="[Table_Raw_Data__ngắn].[Nhà vận tải]" caption="Nhà vận tải" attribute="1" defaultMemberUniqueName="[Table_Raw_Data__ngắn].[Nhà vận tải].[All]" allUniqueName="[Table_Raw_Data__ngắn].[Nhà vận tải].[All]" dimensionUniqueName="[Table_Raw_Data__ngắn]" displayFolder="" count="0" memberValueDatatype="130" unbalanced="0"/>
    <cacheHierarchy uniqueName="[Table_Raw_Data__ngắn].[Chi Phí - ngắn]" caption="Chi Phí - ngắn" attribute="1" defaultMemberUniqueName="[Table_Raw_Data__ngắn].[Chi Phí - ngắn].[All]" allUniqueName="[Table_Raw_Data__ngắn].[Chi Phí - ngắn].[All]" dimensionUniqueName="[Table_Raw_Data__ngắn]" displayFolder="" count="0" memberValueDatatype="5" unbalanced="0"/>
    <cacheHierarchy uniqueName="[Table_Raw_Data__ngắn].[KPI- ngắn]" caption="KPI- ngắn" attribute="1" defaultMemberUniqueName="[Table_Raw_Data__ngắn].[KPI- ngắn].[All]" allUniqueName="[Table_Raw_Data__ngắn].[KPI- ngắn].[All]" dimensionUniqueName="[Table_Raw_Data__ngắn]" displayFolder="" count="0" memberValueDatatype="5" unbalanced="0"/>
    <cacheHierarchy uniqueName="[Measures].[Good]" caption="Good" measure="1" displayFolder="" measureGroup="Table_Raw_Data__ngắn" count="0" oneField="1">
      <fieldsUsage count="1">
        <fieldUsage x="0"/>
      </fieldsUsage>
    </cacheHierarchy>
    <cacheHierarchy uniqueName="[Measures].[Good.]" caption="Good." measure="1" displayFolder="" measureGroup="Table_Raw_Data__ngắn" count="0" oneField="1">
      <fieldsUsage count="1">
        <fieldUsage x="2"/>
      </fieldsUsage>
    </cacheHierarchy>
    <cacheHierarchy uniqueName="[Measures].[Need to improve]" caption="Need to improve" measure="1" displayFolder="" measureGroup="Table_Raw_Data__ngắn" count="0" oneField="1">
      <fieldsUsage count="1">
        <fieldUsage x="3"/>
      </fieldsUsage>
    </cacheHierarchy>
    <cacheHierarchy uniqueName="[Measures].[__XL_Count Table_Raw_Data__ngắn]" caption="__XL_Count Table_Raw_Data__ngắn" measure="1" displayFolder="" measureGroup="Table_Raw_Data__ngắn" count="0" hidden="1"/>
    <cacheHierarchy uniqueName="[Measures].[__XL_Count Table_Raw_Data___dài]" caption="__XL_Count Table_Raw_Data___dài" measure="1" displayFolder="" measureGroup="Table_Raw_Data___dài" count="0" hidden="1"/>
    <cacheHierarchy uniqueName="[Measures].[__XL_Count Table_Raw_Data___LTL]" caption="__XL_Count Table_Raw_Data___LTL" measure="1" displayFolder="" measureGroup="Table_Raw_Data___LTL" count="0" hidden="1"/>
    <cacheHierarchy uniqueName="[Measures].[__No measures defined]" caption="__No measures defined" measure="1" displayFolder="" count="0" hidden="1"/>
    <cacheHierarchy uniqueName="[Measures].[Average of KPI- ngắn]" caption="Average of KPI- ngắn" measure="1" displayFolder="" measureGroup="Table_Raw_Data__ngắn" count="0" hidden="1">
      <extLst>
        <ext xmlns:x15="http://schemas.microsoft.com/office/spreadsheetml/2010/11/main" uri="{B97F6D7D-B522-45F9-BDA1-12C45D357490}">
          <x15:cacheHierarchy aggregatedColumn="14"/>
        </ext>
      </extLst>
    </cacheHierarchy>
    <cacheHierarchy uniqueName="[Measures].[Sum of Chi Phí - ngắn]" caption="Sum of Chi Phí - ngắn" measure="1" displayFolder="" measureGroup="Table_Raw_Data__ngắn" count="0" hidden="1">
      <extLst>
        <ext xmlns:x15="http://schemas.microsoft.com/office/spreadsheetml/2010/11/main" uri="{B97F6D7D-B522-45F9-BDA1-12C45D357490}">
          <x15:cacheHierarchy aggregatedColumn="13"/>
        </ext>
      </extLst>
    </cacheHierarchy>
    <cacheHierarchy uniqueName="[Measures].[Sum of Chi Phí- Dài]" caption="Sum of Chi Phí- Dài" measure="1" displayFolder="" measureGroup="Table_Raw_Data___dài" count="0" hidden="1">
      <extLst>
        <ext xmlns:x15="http://schemas.microsoft.com/office/spreadsheetml/2010/11/main" uri="{B97F6D7D-B522-45F9-BDA1-12C45D357490}">
          <x15:cacheHierarchy aggregatedColumn="3"/>
        </ext>
      </extLst>
    </cacheHierarchy>
    <cacheHierarchy uniqueName="[Measures].[Sum of KPI-dài]" caption="Sum of KPI-dài" measure="1" displayFolder="" measureGroup="Table_Raw_Data___dài" count="0" hidden="1">
      <extLst>
        <ext xmlns:x15="http://schemas.microsoft.com/office/spreadsheetml/2010/11/main" uri="{B97F6D7D-B522-45F9-BDA1-12C45D357490}">
          <x15:cacheHierarchy aggregatedColumn="4"/>
        </ext>
      </extLst>
    </cacheHierarchy>
    <cacheHierarchy uniqueName="[Measures].[Average of KPI-dài]" caption="Average of KPI-dài" measure="1" displayFolder="" measureGroup="Table_Raw_Data___dài" count="0" hidden="1">
      <extLst>
        <ext xmlns:x15="http://schemas.microsoft.com/office/spreadsheetml/2010/11/main" uri="{B97F6D7D-B522-45F9-BDA1-12C45D357490}">
          <x15:cacheHierarchy aggregatedColumn="4"/>
        </ext>
      </extLst>
    </cacheHierarchy>
    <cacheHierarchy uniqueName="[Measures].[Sum of Chi Phí - LTL]" caption="Sum of Chi Phí - LTL" measure="1" displayFolder="" measureGroup="Table_Raw_Data___LTL" count="0" hidden="1">
      <extLst>
        <ext xmlns:x15="http://schemas.microsoft.com/office/spreadsheetml/2010/11/main" uri="{B97F6D7D-B522-45F9-BDA1-12C45D357490}">
          <x15:cacheHierarchy aggregatedColumn="8"/>
        </ext>
      </extLst>
    </cacheHierarchy>
    <cacheHierarchy uniqueName="[Measures].[Sum of KPI- LTL]" caption="Sum of KPI- LTL" measure="1" displayFolder="" measureGroup="Table_Raw_Data___LTL" count="0" hidden="1">
      <extLst>
        <ext xmlns:x15="http://schemas.microsoft.com/office/spreadsheetml/2010/11/main" uri="{B97F6D7D-B522-45F9-BDA1-12C45D357490}">
          <x15:cacheHierarchy aggregatedColumn="9"/>
        </ext>
      </extLst>
    </cacheHierarchy>
    <cacheHierarchy uniqueName="[Measures].[Average of KPI- LTL]" caption="Average of KPI- LTL" measure="1" displayFolder="" measureGroup="Table_Raw_Data___LTL" count="0" oneField="1" hidden="1">
      <fieldsUsage count="1">
        <fieldUsage x="1"/>
      </fieldsUsage>
      <extLst>
        <ext xmlns:x15="http://schemas.microsoft.com/office/spreadsheetml/2010/11/main" uri="{B97F6D7D-B522-45F9-BDA1-12C45D357490}">
          <x15:cacheHierarchy aggregatedColumn="9"/>
        </ext>
      </extLst>
    </cacheHierarchy>
  </cacheHierarchies>
  <kpis count="0"/>
  <dimensions count="4">
    <dimension measure="1" name="Measures" uniqueName="[Measures]" caption="Measures"/>
    <dimension name="Table_Raw_Data___dài" uniqueName="[Table_Raw_Data___dài]" caption="Table_Raw_Data___dài"/>
    <dimension name="Table_Raw_Data___LTL" uniqueName="[Table_Raw_Data___LTL]" caption="Table_Raw_Data___LTL"/>
    <dimension name="Table_Raw_Data__ngắn" uniqueName="[Table_Raw_Data__ngắn]" caption="Table_Raw_Data__ngắn"/>
  </dimensions>
  <measureGroups count="3">
    <measureGroup name="Table_Raw_Data___dài" caption="Table_Raw_Data___dài"/>
    <measureGroup name="Table_Raw_Data___LTL" caption="Table_Raw_Data___LTL"/>
    <measureGroup name="Table_Raw_Data__ngắn" caption="Table_Raw_Data__ngắn"/>
  </measureGroups>
  <maps count="3">
    <map measureGroup="0" dimension="1"/>
    <map measureGroup="1" dimension="2"/>
    <map measureGroup="2" dimension="3"/>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0.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Minh Tien" refreshedDate="45136.422197685184" backgroundQuery="1" createdVersion="8" refreshedVersion="8" minRefreshableVersion="3" recordCount="0" supportSubquery="1" supportAdvancedDrill="1" xr:uid="{FBD7F9ED-E1C3-49C8-B934-9FAF35983CC7}">
  <cacheSource type="external" connectionId="5"/>
  <cacheFields count="4">
    <cacheField name="[Measures].[Sum of Chi Phí- Dài]" caption="Sum of Chi Phí- Dài" numFmtId="0" hierarchy="24" level="32767"/>
    <cacheField name="[Table_Raw_Data___dài].[Nhà vận tải].[Nhà vận tải]" caption="Nhà vận tải" numFmtId="0" hierarchy="2" level="1">
      <sharedItems count="8">
        <s v="INTERLOG"/>
        <s v="LOGITEM"/>
        <s v="PHUONG ANH"/>
        <s v="THUAN THANH TIN"/>
        <s v="VINAFCO"/>
        <s v="NHAT PHONG VAN" u="1"/>
        <s v="NHAT QUANG" u="1"/>
        <s v="NHUT LIEN" u="1"/>
      </sharedItems>
    </cacheField>
    <cacheField name="[Table_Raw_Data___dài].[Chi nhánh].[Chi nhánh]" caption="Chi nhánh" numFmtId="0" hierarchy="1" level="1">
      <sharedItems containsSemiMixedTypes="0" containsNonDate="0" containsString="0"/>
    </cacheField>
    <cacheField name="[Table_Raw_Data___dài].[Tháng].[Tháng]" caption="Tháng" numFmtId="0" level="1">
      <sharedItems containsSemiMixedTypes="0" containsNonDate="0" containsString="0"/>
    </cacheField>
  </cacheFields>
  <cacheHierarchies count="30">
    <cacheHierarchy uniqueName="[Table_Raw_Data___dài].[Tháng]" caption="Tháng" attribute="1" defaultMemberUniqueName="[Table_Raw_Data___dài].[Tháng].[All]" allUniqueName="[Table_Raw_Data___dài].[Tháng].[All]" dimensionUniqueName="[Table_Raw_Data___dài]" displayFolder="" count="2" memberValueDatatype="20" unbalanced="0">
      <fieldsUsage count="2">
        <fieldUsage x="-1"/>
        <fieldUsage x="3"/>
      </fieldsUsage>
    </cacheHierarchy>
    <cacheHierarchy uniqueName="[Table_Raw_Data___dài].[Chi nhánh]" caption="Chi nhánh" attribute="1" defaultMemberUniqueName="[Table_Raw_Data___dài].[Chi nhánh].[All]" allUniqueName="[Table_Raw_Data___dài].[Chi nhánh].[All]" dimensionUniqueName="[Table_Raw_Data___dài]" displayFolder="" count="2" memberValueDatatype="130" unbalanced="0">
      <fieldsUsage count="2">
        <fieldUsage x="-1"/>
        <fieldUsage x="2"/>
      </fieldsUsage>
    </cacheHierarchy>
    <cacheHierarchy uniqueName="[Table_Raw_Data___dài].[Nhà vận tải]" caption="Nhà vận tải" attribute="1" defaultMemberUniqueName="[Table_Raw_Data___dài].[Nhà vận tải].[All]" allUniqueName="[Table_Raw_Data___dài].[Nhà vận tải].[All]" dimensionUniqueName="[Table_Raw_Data___dài]" displayFolder="" count="2" memberValueDatatype="130" unbalanced="0">
      <fieldsUsage count="2">
        <fieldUsage x="-1"/>
        <fieldUsage x="1"/>
      </fieldsUsage>
    </cacheHierarchy>
    <cacheHierarchy uniqueName="[Table_Raw_Data___dài].[Chi Phí- Dài]" caption="Chi Phí- Dài" attribute="1" defaultMemberUniqueName="[Table_Raw_Data___dài].[Chi Phí- Dài].[All]" allUniqueName="[Table_Raw_Data___dài].[Chi Phí- Dài].[All]" dimensionUniqueName="[Table_Raw_Data___dài]" displayFolder="" count="0" memberValueDatatype="5" unbalanced="0"/>
    <cacheHierarchy uniqueName="[Table_Raw_Data___dài].[KPI-dài]" caption="KPI-dài" attribute="1" defaultMemberUniqueName="[Table_Raw_Data___dài].[KPI-dài].[All]" allUniqueName="[Table_Raw_Data___dài].[KPI-dài].[All]" dimensionUniqueName="[Table_Raw_Data___dài]" displayFolder="" count="0" memberValueDatatype="5" unbalanced="0"/>
    <cacheHierarchy uniqueName="[Table_Raw_Data___LTL].[Tháng]" caption="Tháng" attribute="1" defaultMemberUniqueName="[Table_Raw_Data___LTL].[Tháng].[All]" allUniqueName="[Table_Raw_Data___LTL].[Tháng].[All]" dimensionUniqueName="[Table_Raw_Data___LTL]" displayFolder="" count="0" memberValueDatatype="20" unbalanced="0"/>
    <cacheHierarchy uniqueName="[Table_Raw_Data___LTL].[Chi nhánh]" caption="Chi nhánh" attribute="1" defaultMemberUniqueName="[Table_Raw_Data___LTL].[Chi nhánh].[All]" allUniqueName="[Table_Raw_Data___LTL].[Chi nhánh].[All]" dimensionUniqueName="[Table_Raw_Data___LTL]" displayFolder="" count="0" memberValueDatatype="130" unbalanced="0"/>
    <cacheHierarchy uniqueName="[Table_Raw_Data___LTL].[Nhà vận tải]" caption="Nhà vận tải" attribute="1" defaultMemberUniqueName="[Table_Raw_Data___LTL].[Nhà vận tải].[All]" allUniqueName="[Table_Raw_Data___LTL].[Nhà vận tải].[All]" dimensionUniqueName="[Table_Raw_Data___LTL]" displayFolder="" count="0" memberValueDatatype="130" unbalanced="0"/>
    <cacheHierarchy uniqueName="[Table_Raw_Data___LTL].[Chi Phí - LTL]" caption="Chi Phí - LTL" attribute="1" defaultMemberUniqueName="[Table_Raw_Data___LTL].[Chi Phí - LTL].[All]" allUniqueName="[Table_Raw_Data___LTL].[Chi Phí - LTL].[All]" dimensionUniqueName="[Table_Raw_Data___LTL]" displayFolder="" count="0" memberValueDatatype="5" unbalanced="0"/>
    <cacheHierarchy uniqueName="[Table_Raw_Data___LTL].[KPI- LTL]" caption="KPI- LTL" attribute="1" defaultMemberUniqueName="[Table_Raw_Data___LTL].[KPI- LTL].[All]" allUniqueName="[Table_Raw_Data___LTL].[KPI- LTL].[All]" dimensionUniqueName="[Table_Raw_Data___LTL]" displayFolder="" count="0" memberValueDatatype="5" unbalanced="0"/>
    <cacheHierarchy uniqueName="[Table_Raw_Data__ngắn].[Tháng]" caption="Tháng" attribute="1" defaultMemberUniqueName="[Table_Raw_Data__ngắn].[Tháng].[All]" allUniqueName="[Table_Raw_Data__ngắn].[Tháng].[All]" dimensionUniqueName="[Table_Raw_Data__ngắn]" displayFolder="" count="0" memberValueDatatype="20" unbalanced="0"/>
    <cacheHierarchy uniqueName="[Table_Raw_Data__ngắn].[Chi nhánh]" caption="Chi nhánh" attribute="1" defaultMemberUniqueName="[Table_Raw_Data__ngắn].[Chi nhánh].[All]" allUniqueName="[Table_Raw_Data__ngắn].[Chi nhánh].[All]" dimensionUniqueName="[Table_Raw_Data__ngắn]" displayFolder="" count="0" memberValueDatatype="130" unbalanced="0"/>
    <cacheHierarchy uniqueName="[Table_Raw_Data__ngắn].[Nhà vận tải]" caption="Nhà vận tải" attribute="1" defaultMemberUniqueName="[Table_Raw_Data__ngắn].[Nhà vận tải].[All]" allUniqueName="[Table_Raw_Data__ngắn].[Nhà vận tải].[All]" dimensionUniqueName="[Table_Raw_Data__ngắn]" displayFolder="" count="0" memberValueDatatype="130" unbalanced="0"/>
    <cacheHierarchy uniqueName="[Table_Raw_Data__ngắn].[Chi Phí - ngắn]" caption="Chi Phí - ngắn" attribute="1" defaultMemberUniqueName="[Table_Raw_Data__ngắn].[Chi Phí - ngắn].[All]" allUniqueName="[Table_Raw_Data__ngắn].[Chi Phí - ngắn].[All]" dimensionUniqueName="[Table_Raw_Data__ngắn]" displayFolder="" count="0" memberValueDatatype="5" unbalanced="0"/>
    <cacheHierarchy uniqueName="[Table_Raw_Data__ngắn].[KPI- ngắn]" caption="KPI- ngắn" attribute="1" defaultMemberUniqueName="[Table_Raw_Data__ngắn].[KPI- ngắn].[All]" allUniqueName="[Table_Raw_Data__ngắn].[KPI- ngắn].[All]" dimensionUniqueName="[Table_Raw_Data__ngắn]" displayFolder="" count="0" memberValueDatatype="5" unbalanced="0"/>
    <cacheHierarchy uniqueName="[Measures].[Good]" caption="Good" measure="1" displayFolder="" measureGroup="Table_Raw_Data__ngắn" count="0"/>
    <cacheHierarchy uniqueName="[Measures].[Good.]" caption="Good." measure="1" displayFolder="" measureGroup="Table_Raw_Data__ngắn" count="0"/>
    <cacheHierarchy uniqueName="[Measures].[Need to improve]" caption="Need to improve" measure="1" displayFolder="" measureGroup="Table_Raw_Data__ngắn" count="0"/>
    <cacheHierarchy uniqueName="[Measures].[__XL_Count Table_Raw_Data__ngắn]" caption="__XL_Count Table_Raw_Data__ngắn" measure="1" displayFolder="" measureGroup="Table_Raw_Data__ngắn" count="0" hidden="1"/>
    <cacheHierarchy uniqueName="[Measures].[__XL_Count Table_Raw_Data___dài]" caption="__XL_Count Table_Raw_Data___dài" measure="1" displayFolder="" measureGroup="Table_Raw_Data___dài" count="0" hidden="1"/>
    <cacheHierarchy uniqueName="[Measures].[__XL_Count Table_Raw_Data___LTL]" caption="__XL_Count Table_Raw_Data___LTL" measure="1" displayFolder="" measureGroup="Table_Raw_Data___LTL" count="0" hidden="1"/>
    <cacheHierarchy uniqueName="[Measures].[__No measures defined]" caption="__No measures defined" measure="1" displayFolder="" count="0" hidden="1"/>
    <cacheHierarchy uniqueName="[Measures].[Average of KPI- ngắn]" caption="Average of KPI- ngắn" measure="1" displayFolder="" measureGroup="Table_Raw_Data__ngắn" count="0" hidden="1">
      <extLst>
        <ext xmlns:x15="http://schemas.microsoft.com/office/spreadsheetml/2010/11/main" uri="{B97F6D7D-B522-45F9-BDA1-12C45D357490}">
          <x15:cacheHierarchy aggregatedColumn="14"/>
        </ext>
      </extLst>
    </cacheHierarchy>
    <cacheHierarchy uniqueName="[Measures].[Sum of Chi Phí - ngắn]" caption="Sum of Chi Phí - ngắn" measure="1" displayFolder="" measureGroup="Table_Raw_Data__ngắn" count="0" hidden="1">
      <extLst>
        <ext xmlns:x15="http://schemas.microsoft.com/office/spreadsheetml/2010/11/main" uri="{B97F6D7D-B522-45F9-BDA1-12C45D357490}">
          <x15:cacheHierarchy aggregatedColumn="13"/>
        </ext>
      </extLst>
    </cacheHierarchy>
    <cacheHierarchy uniqueName="[Measures].[Sum of Chi Phí- Dài]" caption="Sum of Chi Phí- Dài" measure="1" displayFolder="" measureGroup="Table_Raw_Data___dài" count="0" oneField="1" hidden="1">
      <fieldsUsage count="1">
        <fieldUsage x="0"/>
      </fieldsUsage>
      <extLst>
        <ext xmlns:x15="http://schemas.microsoft.com/office/spreadsheetml/2010/11/main" uri="{B97F6D7D-B522-45F9-BDA1-12C45D357490}">
          <x15:cacheHierarchy aggregatedColumn="3"/>
        </ext>
      </extLst>
    </cacheHierarchy>
    <cacheHierarchy uniqueName="[Measures].[Sum of KPI-dài]" caption="Sum of KPI-dài" measure="1" displayFolder="" measureGroup="Table_Raw_Data___dài" count="0" hidden="1">
      <extLst>
        <ext xmlns:x15="http://schemas.microsoft.com/office/spreadsheetml/2010/11/main" uri="{B97F6D7D-B522-45F9-BDA1-12C45D357490}">
          <x15:cacheHierarchy aggregatedColumn="4"/>
        </ext>
      </extLst>
    </cacheHierarchy>
    <cacheHierarchy uniqueName="[Measures].[Average of KPI-dài]" caption="Average of KPI-dài" measure="1" displayFolder="" measureGroup="Table_Raw_Data___dài" count="0" hidden="1">
      <extLst>
        <ext xmlns:x15="http://schemas.microsoft.com/office/spreadsheetml/2010/11/main" uri="{B97F6D7D-B522-45F9-BDA1-12C45D357490}">
          <x15:cacheHierarchy aggregatedColumn="4"/>
        </ext>
      </extLst>
    </cacheHierarchy>
    <cacheHierarchy uniqueName="[Measures].[Sum of Chi Phí - LTL]" caption="Sum of Chi Phí - LTL" measure="1" displayFolder="" measureGroup="Table_Raw_Data___LTL" count="0" hidden="1">
      <extLst>
        <ext xmlns:x15="http://schemas.microsoft.com/office/spreadsheetml/2010/11/main" uri="{B97F6D7D-B522-45F9-BDA1-12C45D357490}">
          <x15:cacheHierarchy aggregatedColumn="8"/>
        </ext>
      </extLst>
    </cacheHierarchy>
    <cacheHierarchy uniqueName="[Measures].[Sum of KPI- LTL]" caption="Sum of KPI- LTL" measure="1" displayFolder="" measureGroup="Table_Raw_Data___LTL" count="0" hidden="1">
      <extLst>
        <ext xmlns:x15="http://schemas.microsoft.com/office/spreadsheetml/2010/11/main" uri="{B97F6D7D-B522-45F9-BDA1-12C45D357490}">
          <x15:cacheHierarchy aggregatedColumn="9"/>
        </ext>
      </extLst>
    </cacheHierarchy>
    <cacheHierarchy uniqueName="[Measures].[Average of KPI- LTL]" caption="Average of KPI- LTL" measure="1" displayFolder="" measureGroup="Table_Raw_Data___LTL" count="0" hidden="1">
      <extLst>
        <ext xmlns:x15="http://schemas.microsoft.com/office/spreadsheetml/2010/11/main" uri="{B97F6D7D-B522-45F9-BDA1-12C45D357490}">
          <x15:cacheHierarchy aggregatedColumn="9"/>
        </ext>
      </extLst>
    </cacheHierarchy>
  </cacheHierarchies>
  <kpis count="0"/>
  <dimensions count="4">
    <dimension measure="1" name="Measures" uniqueName="[Measures]" caption="Measures"/>
    <dimension name="Table_Raw_Data___dài" uniqueName="[Table_Raw_Data___dài]" caption="Table_Raw_Data___dài"/>
    <dimension name="Table_Raw_Data___LTL" uniqueName="[Table_Raw_Data___LTL]" caption="Table_Raw_Data___LTL"/>
    <dimension name="Table_Raw_Data__ngắn" uniqueName="[Table_Raw_Data__ngắn]" caption="Table_Raw_Data__ngắn"/>
  </dimensions>
  <measureGroups count="3">
    <measureGroup name="Table_Raw_Data___dài" caption="Table_Raw_Data___dài"/>
    <measureGroup name="Table_Raw_Data___LTL" caption="Table_Raw_Data___LTL"/>
    <measureGroup name="Table_Raw_Data__ngắn" caption="Table_Raw_Data__ngắn"/>
  </measureGroups>
  <maps count="3">
    <map measureGroup="0" dimension="1"/>
    <map measureGroup="1" dimension="2"/>
    <map measureGroup="2" dimension="3"/>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Minh Tien" refreshedDate="45136.422198148146" backgroundQuery="1" createdVersion="8" refreshedVersion="8" minRefreshableVersion="3" recordCount="0" supportSubquery="1" supportAdvancedDrill="1" xr:uid="{A66C41EB-83DC-40AB-91C4-02C21482801B}">
  <cacheSource type="external" connectionId="5"/>
  <cacheFields count="6">
    <cacheField name="[Table_Raw_Data___dài].[Nhà vận tải].[Nhà vận tải]" caption="Nhà vận tải" numFmtId="0" hierarchy="2" level="1">
      <sharedItems count="8">
        <s v="INTERLOG"/>
        <s v="LOGITEM"/>
        <s v="PHUONG ANH"/>
        <s v="THUAN THANH TIN"/>
        <s v="VINAFCO"/>
        <s v="NHAT PHONG VAN" u="1"/>
        <s v="NHAT QUANG" u="1"/>
        <s v="NHUT LIEN" u="1"/>
      </sharedItems>
    </cacheField>
    <cacheField name="[Measures].[Average of KPI-dài]" caption="Average of KPI-dài" numFmtId="0" hierarchy="26" level="32767"/>
    <cacheField name="[Measures].[Good]" caption="Good" numFmtId="0" hierarchy="15" level="32767"/>
    <cacheField name="[Measures].[Good.]" caption="Good." numFmtId="0" hierarchy="16" level="32767"/>
    <cacheField name="[Measures].[Need to improve]" caption="Need to improve" numFmtId="0" hierarchy="17" level="32767"/>
    <cacheField name="[Table_Raw_Data___dài].[Chi nhánh].[Chi nhánh]" caption="Chi nhánh" numFmtId="0" hierarchy="1" level="1">
      <sharedItems containsSemiMixedTypes="0" containsNonDate="0" containsString="0"/>
    </cacheField>
  </cacheFields>
  <cacheHierarchies count="30">
    <cacheHierarchy uniqueName="[Table_Raw_Data___dài].[Tháng]" caption="Tháng" attribute="1" defaultMemberUniqueName="[Table_Raw_Data___dài].[Tháng].[All]" allUniqueName="[Table_Raw_Data___dài].[Tháng].[All]" dimensionUniqueName="[Table_Raw_Data___dài]" displayFolder="" count="2" memberValueDatatype="20" unbalanced="0"/>
    <cacheHierarchy uniqueName="[Table_Raw_Data___dài].[Chi nhánh]" caption="Chi nhánh" attribute="1" defaultMemberUniqueName="[Table_Raw_Data___dài].[Chi nhánh].[All]" allUniqueName="[Table_Raw_Data___dài].[Chi nhánh].[All]" dimensionUniqueName="[Table_Raw_Data___dài]" displayFolder="" count="2" memberValueDatatype="130" unbalanced="0">
      <fieldsUsage count="2">
        <fieldUsage x="-1"/>
        <fieldUsage x="5"/>
      </fieldsUsage>
    </cacheHierarchy>
    <cacheHierarchy uniqueName="[Table_Raw_Data___dài].[Nhà vận tải]" caption="Nhà vận tải" attribute="1" defaultMemberUniqueName="[Table_Raw_Data___dài].[Nhà vận tải].[All]" allUniqueName="[Table_Raw_Data___dài].[Nhà vận tải].[All]" dimensionUniqueName="[Table_Raw_Data___dài]" displayFolder="" count="2" memberValueDatatype="130" unbalanced="0">
      <fieldsUsage count="2">
        <fieldUsage x="-1"/>
        <fieldUsage x="0"/>
      </fieldsUsage>
    </cacheHierarchy>
    <cacheHierarchy uniqueName="[Table_Raw_Data___dài].[Chi Phí- Dài]" caption="Chi Phí- Dài" attribute="1" defaultMemberUniqueName="[Table_Raw_Data___dài].[Chi Phí- Dài].[All]" allUniqueName="[Table_Raw_Data___dài].[Chi Phí- Dài].[All]" dimensionUniqueName="[Table_Raw_Data___dài]" displayFolder="" count="0" memberValueDatatype="5" unbalanced="0"/>
    <cacheHierarchy uniqueName="[Table_Raw_Data___dài].[KPI-dài]" caption="KPI-dài" attribute="1" defaultMemberUniqueName="[Table_Raw_Data___dài].[KPI-dài].[All]" allUniqueName="[Table_Raw_Data___dài].[KPI-dài].[All]" dimensionUniqueName="[Table_Raw_Data___dài]" displayFolder="" count="0" memberValueDatatype="5" unbalanced="0"/>
    <cacheHierarchy uniqueName="[Table_Raw_Data___LTL].[Tháng]" caption="Tháng" attribute="1" defaultMemberUniqueName="[Table_Raw_Data___LTL].[Tháng].[All]" allUniqueName="[Table_Raw_Data___LTL].[Tháng].[All]" dimensionUniqueName="[Table_Raw_Data___LTL]" displayFolder="" count="0" memberValueDatatype="20" unbalanced="0"/>
    <cacheHierarchy uniqueName="[Table_Raw_Data___LTL].[Chi nhánh]" caption="Chi nhánh" attribute="1" defaultMemberUniqueName="[Table_Raw_Data___LTL].[Chi nhánh].[All]" allUniqueName="[Table_Raw_Data___LTL].[Chi nhánh].[All]" dimensionUniqueName="[Table_Raw_Data___LTL]" displayFolder="" count="0" memberValueDatatype="130" unbalanced="0"/>
    <cacheHierarchy uniqueName="[Table_Raw_Data___LTL].[Nhà vận tải]" caption="Nhà vận tải" attribute="1" defaultMemberUniqueName="[Table_Raw_Data___LTL].[Nhà vận tải].[All]" allUniqueName="[Table_Raw_Data___LTL].[Nhà vận tải].[All]" dimensionUniqueName="[Table_Raw_Data___LTL]" displayFolder="" count="0" memberValueDatatype="130" unbalanced="0"/>
    <cacheHierarchy uniqueName="[Table_Raw_Data___LTL].[Chi Phí - LTL]" caption="Chi Phí - LTL" attribute="1" defaultMemberUniqueName="[Table_Raw_Data___LTL].[Chi Phí - LTL].[All]" allUniqueName="[Table_Raw_Data___LTL].[Chi Phí - LTL].[All]" dimensionUniqueName="[Table_Raw_Data___LTL]" displayFolder="" count="0" memberValueDatatype="5" unbalanced="0"/>
    <cacheHierarchy uniqueName="[Table_Raw_Data___LTL].[KPI- LTL]" caption="KPI- LTL" attribute="1" defaultMemberUniqueName="[Table_Raw_Data___LTL].[KPI- LTL].[All]" allUniqueName="[Table_Raw_Data___LTL].[KPI- LTL].[All]" dimensionUniqueName="[Table_Raw_Data___LTL]" displayFolder="" count="0" memberValueDatatype="5" unbalanced="0"/>
    <cacheHierarchy uniqueName="[Table_Raw_Data__ngắn].[Tháng]" caption="Tháng" attribute="1" defaultMemberUniqueName="[Table_Raw_Data__ngắn].[Tháng].[All]" allUniqueName="[Table_Raw_Data__ngắn].[Tháng].[All]" dimensionUniqueName="[Table_Raw_Data__ngắn]" displayFolder="" count="0" memberValueDatatype="20" unbalanced="0"/>
    <cacheHierarchy uniqueName="[Table_Raw_Data__ngắn].[Chi nhánh]" caption="Chi nhánh" attribute="1" defaultMemberUniqueName="[Table_Raw_Data__ngắn].[Chi nhánh].[All]" allUniqueName="[Table_Raw_Data__ngắn].[Chi nhánh].[All]" dimensionUniqueName="[Table_Raw_Data__ngắn]" displayFolder="" count="0" memberValueDatatype="130" unbalanced="0"/>
    <cacheHierarchy uniqueName="[Table_Raw_Data__ngắn].[Nhà vận tải]" caption="Nhà vận tải" attribute="1" defaultMemberUniqueName="[Table_Raw_Data__ngắn].[Nhà vận tải].[All]" allUniqueName="[Table_Raw_Data__ngắn].[Nhà vận tải].[All]" dimensionUniqueName="[Table_Raw_Data__ngắn]" displayFolder="" count="0" memberValueDatatype="130" unbalanced="0"/>
    <cacheHierarchy uniqueName="[Table_Raw_Data__ngắn].[Chi Phí - ngắn]" caption="Chi Phí - ngắn" attribute="1" defaultMemberUniqueName="[Table_Raw_Data__ngắn].[Chi Phí - ngắn].[All]" allUniqueName="[Table_Raw_Data__ngắn].[Chi Phí - ngắn].[All]" dimensionUniqueName="[Table_Raw_Data__ngắn]" displayFolder="" count="0" memberValueDatatype="5" unbalanced="0"/>
    <cacheHierarchy uniqueName="[Table_Raw_Data__ngắn].[KPI- ngắn]" caption="KPI- ngắn" attribute="1" defaultMemberUniqueName="[Table_Raw_Data__ngắn].[KPI- ngắn].[All]" allUniqueName="[Table_Raw_Data__ngắn].[KPI- ngắn].[All]" dimensionUniqueName="[Table_Raw_Data__ngắn]" displayFolder="" count="0" memberValueDatatype="5" unbalanced="0"/>
    <cacheHierarchy uniqueName="[Measures].[Good]" caption="Good" measure="1" displayFolder="" measureGroup="Table_Raw_Data__ngắn" count="0" oneField="1">
      <fieldsUsage count="1">
        <fieldUsage x="2"/>
      </fieldsUsage>
    </cacheHierarchy>
    <cacheHierarchy uniqueName="[Measures].[Good.]" caption="Good." measure="1" displayFolder="" measureGroup="Table_Raw_Data__ngắn" count="0" oneField="1">
      <fieldsUsage count="1">
        <fieldUsage x="3"/>
      </fieldsUsage>
    </cacheHierarchy>
    <cacheHierarchy uniqueName="[Measures].[Need to improve]" caption="Need to improve" measure="1" displayFolder="" measureGroup="Table_Raw_Data__ngắn" count="0" oneField="1">
      <fieldsUsage count="1">
        <fieldUsage x="4"/>
      </fieldsUsage>
    </cacheHierarchy>
    <cacheHierarchy uniqueName="[Measures].[__XL_Count Table_Raw_Data__ngắn]" caption="__XL_Count Table_Raw_Data__ngắn" measure="1" displayFolder="" measureGroup="Table_Raw_Data__ngắn" count="0" hidden="1"/>
    <cacheHierarchy uniqueName="[Measures].[__XL_Count Table_Raw_Data___dài]" caption="__XL_Count Table_Raw_Data___dài" measure="1" displayFolder="" measureGroup="Table_Raw_Data___dài" count="0" hidden="1"/>
    <cacheHierarchy uniqueName="[Measures].[__XL_Count Table_Raw_Data___LTL]" caption="__XL_Count Table_Raw_Data___LTL" measure="1" displayFolder="" measureGroup="Table_Raw_Data___LTL" count="0" hidden="1"/>
    <cacheHierarchy uniqueName="[Measures].[__No measures defined]" caption="__No measures defined" measure="1" displayFolder="" count="0" hidden="1"/>
    <cacheHierarchy uniqueName="[Measures].[Average of KPI- ngắn]" caption="Average of KPI- ngắn" measure="1" displayFolder="" measureGroup="Table_Raw_Data__ngắn" count="0" hidden="1">
      <extLst>
        <ext xmlns:x15="http://schemas.microsoft.com/office/spreadsheetml/2010/11/main" uri="{B97F6D7D-B522-45F9-BDA1-12C45D357490}">
          <x15:cacheHierarchy aggregatedColumn="14"/>
        </ext>
      </extLst>
    </cacheHierarchy>
    <cacheHierarchy uniqueName="[Measures].[Sum of Chi Phí - ngắn]" caption="Sum of Chi Phí - ngắn" measure="1" displayFolder="" measureGroup="Table_Raw_Data__ngắn" count="0" hidden="1">
      <extLst>
        <ext xmlns:x15="http://schemas.microsoft.com/office/spreadsheetml/2010/11/main" uri="{B97F6D7D-B522-45F9-BDA1-12C45D357490}">
          <x15:cacheHierarchy aggregatedColumn="13"/>
        </ext>
      </extLst>
    </cacheHierarchy>
    <cacheHierarchy uniqueName="[Measures].[Sum of Chi Phí- Dài]" caption="Sum of Chi Phí- Dài" measure="1" displayFolder="" measureGroup="Table_Raw_Data___dài" count="0" hidden="1">
      <extLst>
        <ext xmlns:x15="http://schemas.microsoft.com/office/spreadsheetml/2010/11/main" uri="{B97F6D7D-B522-45F9-BDA1-12C45D357490}">
          <x15:cacheHierarchy aggregatedColumn="3"/>
        </ext>
      </extLst>
    </cacheHierarchy>
    <cacheHierarchy uniqueName="[Measures].[Sum of KPI-dài]" caption="Sum of KPI-dài" measure="1" displayFolder="" measureGroup="Table_Raw_Data___dài" count="0" hidden="1">
      <extLst>
        <ext xmlns:x15="http://schemas.microsoft.com/office/spreadsheetml/2010/11/main" uri="{B97F6D7D-B522-45F9-BDA1-12C45D357490}">
          <x15:cacheHierarchy aggregatedColumn="4"/>
        </ext>
      </extLst>
    </cacheHierarchy>
    <cacheHierarchy uniqueName="[Measures].[Average of KPI-dài]" caption="Average of KPI-dài" measure="1" displayFolder="" measureGroup="Table_Raw_Data___dài" count="0" oneField="1" hidden="1">
      <fieldsUsage count="1">
        <fieldUsage x="1"/>
      </fieldsUsage>
      <extLst>
        <ext xmlns:x15="http://schemas.microsoft.com/office/spreadsheetml/2010/11/main" uri="{B97F6D7D-B522-45F9-BDA1-12C45D357490}">
          <x15:cacheHierarchy aggregatedColumn="4"/>
        </ext>
      </extLst>
    </cacheHierarchy>
    <cacheHierarchy uniqueName="[Measures].[Sum of Chi Phí - LTL]" caption="Sum of Chi Phí - LTL" measure="1" displayFolder="" measureGroup="Table_Raw_Data___LTL" count="0" hidden="1">
      <extLst>
        <ext xmlns:x15="http://schemas.microsoft.com/office/spreadsheetml/2010/11/main" uri="{B97F6D7D-B522-45F9-BDA1-12C45D357490}">
          <x15:cacheHierarchy aggregatedColumn="8"/>
        </ext>
      </extLst>
    </cacheHierarchy>
    <cacheHierarchy uniqueName="[Measures].[Sum of KPI- LTL]" caption="Sum of KPI- LTL" measure="1" displayFolder="" measureGroup="Table_Raw_Data___LTL" count="0" hidden="1">
      <extLst>
        <ext xmlns:x15="http://schemas.microsoft.com/office/spreadsheetml/2010/11/main" uri="{B97F6D7D-B522-45F9-BDA1-12C45D357490}">
          <x15:cacheHierarchy aggregatedColumn="9"/>
        </ext>
      </extLst>
    </cacheHierarchy>
    <cacheHierarchy uniqueName="[Measures].[Average of KPI- LTL]" caption="Average of KPI- LTL" measure="1" displayFolder="" measureGroup="Table_Raw_Data___LTL" count="0" hidden="1">
      <extLst>
        <ext xmlns:x15="http://schemas.microsoft.com/office/spreadsheetml/2010/11/main" uri="{B97F6D7D-B522-45F9-BDA1-12C45D357490}">
          <x15:cacheHierarchy aggregatedColumn="9"/>
        </ext>
      </extLst>
    </cacheHierarchy>
  </cacheHierarchies>
  <kpis count="0"/>
  <dimensions count="4">
    <dimension measure="1" name="Measures" uniqueName="[Measures]" caption="Measures"/>
    <dimension name="Table_Raw_Data___dài" uniqueName="[Table_Raw_Data___dài]" caption="Table_Raw_Data___dài"/>
    <dimension name="Table_Raw_Data___LTL" uniqueName="[Table_Raw_Data___LTL]" caption="Table_Raw_Data___LTL"/>
    <dimension name="Table_Raw_Data__ngắn" uniqueName="[Table_Raw_Data__ngắn]" caption="Table_Raw_Data__ngắn"/>
  </dimensions>
  <measureGroups count="3">
    <measureGroup name="Table_Raw_Data___dài" caption="Table_Raw_Data___dài"/>
    <measureGroup name="Table_Raw_Data___LTL" caption="Table_Raw_Data___LTL"/>
    <measureGroup name="Table_Raw_Data__ngắn" caption="Table_Raw_Data__ngắn"/>
  </measureGroups>
  <maps count="3">
    <map measureGroup="0" dimension="1"/>
    <map measureGroup="1" dimension="2"/>
    <map measureGroup="2" dimension="3"/>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Nguyen Minh Tien" refreshedDate="45134.564488425924" backgroundQuery="1" createdVersion="3" refreshedVersion="8" minRefreshableVersion="3" recordCount="0" supportSubquery="1" supportAdvancedDrill="1" xr:uid="{137BCEB0-78B7-448D-8283-3B3A1D23044D}">
  <cacheSource type="external" connectionId="5">
    <extLst>
      <ext xmlns:x14="http://schemas.microsoft.com/office/spreadsheetml/2009/9/main" uri="{F057638F-6D5F-4e77-A914-E7F072B9BCA8}">
        <x14:sourceConnection name="ThisWorkbookDataModel"/>
      </ext>
    </extLst>
  </cacheSource>
  <cacheFields count="0"/>
  <cacheHierarchies count="30">
    <cacheHierarchy uniqueName="[Table_Raw_Data___dài].[Tháng]" caption="Tháng" attribute="1" defaultMemberUniqueName="[Table_Raw_Data___dài].[Tháng].[All]" allUniqueName="[Table_Raw_Data___dài].[Tháng].[All]" dimensionUniqueName="[Table_Raw_Data___dài]" displayFolder="" count="0" memberValueDatatype="20" unbalanced="0"/>
    <cacheHierarchy uniqueName="[Table_Raw_Data___dài].[Chi nhánh]" caption="Chi nhánh" attribute="1" defaultMemberUniqueName="[Table_Raw_Data___dài].[Chi nhánh].[All]" allUniqueName="[Table_Raw_Data___dài].[Chi nhánh].[All]" dimensionUniqueName="[Table_Raw_Data___dài]" displayFolder="" count="0" memberValueDatatype="130" unbalanced="0"/>
    <cacheHierarchy uniqueName="[Table_Raw_Data___dài].[Nhà vận tải]" caption="Nhà vận tải" attribute="1" defaultMemberUniqueName="[Table_Raw_Data___dài].[Nhà vận tải].[All]" allUniqueName="[Table_Raw_Data___dài].[Nhà vận tải].[All]" dimensionUniqueName="[Table_Raw_Data___dài]" displayFolder="" count="0" memberValueDatatype="130" unbalanced="0"/>
    <cacheHierarchy uniqueName="[Table_Raw_Data___dài].[Chi Phí- Dài]" caption="Chi Phí- Dài" attribute="1" defaultMemberUniqueName="[Table_Raw_Data___dài].[Chi Phí- Dài].[All]" allUniqueName="[Table_Raw_Data___dài].[Chi Phí- Dài].[All]" dimensionUniqueName="[Table_Raw_Data___dài]" displayFolder="" count="0" memberValueDatatype="5" unbalanced="0"/>
    <cacheHierarchy uniqueName="[Table_Raw_Data___dài].[KPI-dài]" caption="KPI-dài" attribute="1" defaultMemberUniqueName="[Table_Raw_Data___dài].[KPI-dài].[All]" allUniqueName="[Table_Raw_Data___dài].[KPI-dài].[All]" dimensionUniqueName="[Table_Raw_Data___dài]" displayFolder="" count="0" memberValueDatatype="5" unbalanced="0"/>
    <cacheHierarchy uniqueName="[Table_Raw_Data___LTL].[Tháng]" caption="Tháng" attribute="1" defaultMemberUniqueName="[Table_Raw_Data___LTL].[Tháng].[All]" allUniqueName="[Table_Raw_Data___LTL].[Tháng].[All]" dimensionUniqueName="[Table_Raw_Data___LTL]" displayFolder="" count="0" memberValueDatatype="20" unbalanced="0"/>
    <cacheHierarchy uniqueName="[Table_Raw_Data___LTL].[Chi nhánh]" caption="Chi nhánh" attribute="1" defaultMemberUniqueName="[Table_Raw_Data___LTL].[Chi nhánh].[All]" allUniqueName="[Table_Raw_Data___LTL].[Chi nhánh].[All]" dimensionUniqueName="[Table_Raw_Data___LTL]" displayFolder="" count="0" memberValueDatatype="130" unbalanced="0"/>
    <cacheHierarchy uniqueName="[Table_Raw_Data___LTL].[Nhà vận tải]" caption="Nhà vận tải" attribute="1" defaultMemberUniqueName="[Table_Raw_Data___LTL].[Nhà vận tải].[All]" allUniqueName="[Table_Raw_Data___LTL].[Nhà vận tải].[All]" dimensionUniqueName="[Table_Raw_Data___LTL]" displayFolder="" count="0" memberValueDatatype="130" unbalanced="0"/>
    <cacheHierarchy uniqueName="[Table_Raw_Data___LTL].[Chi Phí - LTL]" caption="Chi Phí - LTL" attribute="1" defaultMemberUniqueName="[Table_Raw_Data___LTL].[Chi Phí - LTL].[All]" allUniqueName="[Table_Raw_Data___LTL].[Chi Phí - LTL].[All]" dimensionUniqueName="[Table_Raw_Data___LTL]" displayFolder="" count="0" memberValueDatatype="5" unbalanced="0"/>
    <cacheHierarchy uniqueName="[Table_Raw_Data___LTL].[KPI- LTL]" caption="KPI- LTL" attribute="1" defaultMemberUniqueName="[Table_Raw_Data___LTL].[KPI- LTL].[All]" allUniqueName="[Table_Raw_Data___LTL].[KPI- LTL].[All]" dimensionUniqueName="[Table_Raw_Data___LTL]" displayFolder="" count="0" memberValueDatatype="5" unbalanced="0"/>
    <cacheHierarchy uniqueName="[Table_Raw_Data__ngắn].[Tháng]" caption="Tháng" attribute="1" defaultMemberUniqueName="[Table_Raw_Data__ngắn].[Tháng].[All]" allUniqueName="[Table_Raw_Data__ngắn].[Tháng].[All]" dimensionUniqueName="[Table_Raw_Data__ngắn]" displayFolder="" count="2" memberValueDatatype="20" unbalanced="0"/>
    <cacheHierarchy uniqueName="[Table_Raw_Data__ngắn].[Chi nhánh]" caption="Chi nhánh" attribute="1" defaultMemberUniqueName="[Table_Raw_Data__ngắn].[Chi nhánh].[All]" allUniqueName="[Table_Raw_Data__ngắn].[Chi nhánh].[All]" dimensionUniqueName="[Table_Raw_Data__ngắn]" displayFolder="" count="2" memberValueDatatype="130" unbalanced="0"/>
    <cacheHierarchy uniqueName="[Table_Raw_Data__ngắn].[Nhà vận tải]" caption="Nhà vận tải" attribute="1" defaultMemberUniqueName="[Table_Raw_Data__ngắn].[Nhà vận tải].[All]" allUniqueName="[Table_Raw_Data__ngắn].[Nhà vận tải].[All]" dimensionUniqueName="[Table_Raw_Data__ngắn]" displayFolder="" count="0" memberValueDatatype="130" unbalanced="0"/>
    <cacheHierarchy uniqueName="[Table_Raw_Data__ngắn].[Chi Phí - ngắn]" caption="Chi Phí - ngắn" attribute="1" defaultMemberUniqueName="[Table_Raw_Data__ngắn].[Chi Phí - ngắn].[All]" allUniqueName="[Table_Raw_Data__ngắn].[Chi Phí - ngắn].[All]" dimensionUniqueName="[Table_Raw_Data__ngắn]" displayFolder="" count="0" memberValueDatatype="5" unbalanced="0"/>
    <cacheHierarchy uniqueName="[Table_Raw_Data__ngắn].[KPI- ngắn]" caption="KPI- ngắn" attribute="1" defaultMemberUniqueName="[Table_Raw_Data__ngắn].[KPI- ngắn].[All]" allUniqueName="[Table_Raw_Data__ngắn].[KPI- ngắn].[All]" dimensionUniqueName="[Table_Raw_Data__ngắn]" displayFolder="" count="0" memberValueDatatype="5" unbalanced="0"/>
    <cacheHierarchy uniqueName="[Measures].[Good]" caption="Good" measure="1" displayFolder="" measureGroup="Table_Raw_Data__ngắn" count="0"/>
    <cacheHierarchy uniqueName="[Measures].[Good.]" caption="Good." measure="1" displayFolder="" measureGroup="Table_Raw_Data__ngắn" count="0"/>
    <cacheHierarchy uniqueName="[Measures].[Need to improve]" caption="Need to improve" measure="1" displayFolder="" measureGroup="Table_Raw_Data__ngắn" count="0"/>
    <cacheHierarchy uniqueName="[Measures].[__XL_Count Table_Raw_Data__ngắn]" caption="__XL_Count Table_Raw_Data__ngắn" measure="1" displayFolder="" measureGroup="Table_Raw_Data__ngắn" count="0" hidden="1"/>
    <cacheHierarchy uniqueName="[Measures].[__XL_Count Table_Raw_Data___dài]" caption="__XL_Count Table_Raw_Data___dài" measure="1" displayFolder="" measureGroup="Table_Raw_Data___dài" count="0" hidden="1"/>
    <cacheHierarchy uniqueName="[Measures].[__XL_Count Table_Raw_Data___LTL]" caption="__XL_Count Table_Raw_Data___LTL" measure="1" displayFolder="" measureGroup="Table_Raw_Data___LTL" count="0" hidden="1"/>
    <cacheHierarchy uniqueName="[Measures].[__No measures defined]" caption="__No measures defined" measure="1" displayFolder="" count="0" hidden="1"/>
    <cacheHierarchy uniqueName="[Measures].[Average of KPI- ngắn]" caption="Average of KPI- ngắn" measure="1" displayFolder="" measureGroup="Table_Raw_Data__ngắn" count="0" hidden="1">
      <extLst>
        <ext xmlns:x15="http://schemas.microsoft.com/office/spreadsheetml/2010/11/main" uri="{B97F6D7D-B522-45F9-BDA1-12C45D357490}">
          <x15:cacheHierarchy aggregatedColumn="14"/>
        </ext>
      </extLst>
    </cacheHierarchy>
    <cacheHierarchy uniqueName="[Measures].[Sum of Chi Phí - ngắn]" caption="Sum of Chi Phí - ngắn" measure="1" displayFolder="" measureGroup="Table_Raw_Data__ngắn" count="0" hidden="1">
      <extLst>
        <ext xmlns:x15="http://schemas.microsoft.com/office/spreadsheetml/2010/11/main" uri="{B97F6D7D-B522-45F9-BDA1-12C45D357490}">
          <x15:cacheHierarchy aggregatedColumn="13"/>
        </ext>
      </extLst>
    </cacheHierarchy>
    <cacheHierarchy uniqueName="[Measures].[Sum of Chi Phí- Dài]" caption="Sum of Chi Phí- Dài" measure="1" displayFolder="" measureGroup="Table_Raw_Data___dài" count="0" hidden="1">
      <extLst>
        <ext xmlns:x15="http://schemas.microsoft.com/office/spreadsheetml/2010/11/main" uri="{B97F6D7D-B522-45F9-BDA1-12C45D357490}">
          <x15:cacheHierarchy aggregatedColumn="3"/>
        </ext>
      </extLst>
    </cacheHierarchy>
    <cacheHierarchy uniqueName="[Measures].[Sum of KPI-dài]" caption="Sum of KPI-dài" measure="1" displayFolder="" measureGroup="Table_Raw_Data___dài" count="0" hidden="1">
      <extLst>
        <ext xmlns:x15="http://schemas.microsoft.com/office/spreadsheetml/2010/11/main" uri="{B97F6D7D-B522-45F9-BDA1-12C45D357490}">
          <x15:cacheHierarchy aggregatedColumn="4"/>
        </ext>
      </extLst>
    </cacheHierarchy>
    <cacheHierarchy uniqueName="[Measures].[Average of KPI-dài]" caption="Average of KPI-dài" measure="1" displayFolder="" measureGroup="Table_Raw_Data___dài" count="0" hidden="1">
      <extLst>
        <ext xmlns:x15="http://schemas.microsoft.com/office/spreadsheetml/2010/11/main" uri="{B97F6D7D-B522-45F9-BDA1-12C45D357490}">
          <x15:cacheHierarchy aggregatedColumn="4"/>
        </ext>
      </extLst>
    </cacheHierarchy>
    <cacheHierarchy uniqueName="[Measures].[Sum of Chi Phí - LTL]" caption="Sum of Chi Phí - LTL" measure="1" displayFolder="" measureGroup="Table_Raw_Data___LTL" count="0" hidden="1">
      <extLst>
        <ext xmlns:x15="http://schemas.microsoft.com/office/spreadsheetml/2010/11/main" uri="{B97F6D7D-B522-45F9-BDA1-12C45D357490}">
          <x15:cacheHierarchy aggregatedColumn="8"/>
        </ext>
      </extLst>
    </cacheHierarchy>
    <cacheHierarchy uniqueName="[Measures].[Sum of KPI- LTL]" caption="Sum of KPI- LTL" measure="1" displayFolder="" measureGroup="Table_Raw_Data___LTL" count="0" hidden="1">
      <extLst>
        <ext xmlns:x15="http://schemas.microsoft.com/office/spreadsheetml/2010/11/main" uri="{B97F6D7D-B522-45F9-BDA1-12C45D357490}">
          <x15:cacheHierarchy aggregatedColumn="9"/>
        </ext>
      </extLst>
    </cacheHierarchy>
    <cacheHierarchy uniqueName="[Measures].[Average of KPI- LTL]" caption="Average of KPI- LTL" measure="1" displayFolder="" measureGroup="Table_Raw_Data___LTL" count="0" hidden="1">
      <extLst>
        <ext xmlns:x15="http://schemas.microsoft.com/office/spreadsheetml/2010/11/main" uri="{B97F6D7D-B522-45F9-BDA1-12C45D357490}">
          <x15:cacheHierarchy aggregatedColumn="9"/>
        </ext>
      </extLst>
    </cacheHierarchy>
  </cacheHierarchies>
  <kpis count="0"/>
  <extLst>
    <ext xmlns:x14="http://schemas.microsoft.com/office/spreadsheetml/2009/9/main" uri="{725AE2AE-9491-48be-B2B4-4EB974FC3084}">
      <x14:pivotCacheDefinition slicerData="1" pivotCacheId="1650334867" supportSubqueryNonVisual="1" supportSubqueryCalcMem="1" supportAddCalcMems="1"/>
    </ext>
  </extLst>
</pivotCacheDefinition>
</file>

<file path=xl/pivotCache/pivotCacheDefinition1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Nguyen Minh Tien" refreshedDate="45134.564496412037" backgroundQuery="1" createdVersion="3" refreshedVersion="8" minRefreshableVersion="3" recordCount="0" supportSubquery="1" supportAdvancedDrill="1" xr:uid="{CEE5437C-F0F8-41D5-84CE-F5A78CBF89E8}">
  <cacheSource type="external" connectionId="5">
    <extLst>
      <ext xmlns:x14="http://schemas.microsoft.com/office/spreadsheetml/2009/9/main" uri="{F057638F-6D5F-4e77-A914-E7F072B9BCA8}">
        <x14:sourceConnection name="ThisWorkbookDataModel"/>
      </ext>
    </extLst>
  </cacheSource>
  <cacheFields count="0"/>
  <cacheHierarchies count="30">
    <cacheHierarchy uniqueName="[Table_Raw_Data___dài].[Tháng]" caption="Tháng" attribute="1" defaultMemberUniqueName="[Table_Raw_Data___dài].[Tháng].[All]" allUniqueName="[Table_Raw_Data___dài].[Tháng].[All]" dimensionUniqueName="[Table_Raw_Data___dài]" displayFolder="" count="0" memberValueDatatype="20" unbalanced="0"/>
    <cacheHierarchy uniqueName="[Table_Raw_Data___dài].[Chi nhánh]" caption="Chi nhánh" attribute="1" defaultMemberUniqueName="[Table_Raw_Data___dài].[Chi nhánh].[All]" allUniqueName="[Table_Raw_Data___dài].[Chi nhánh].[All]" dimensionUniqueName="[Table_Raw_Data___dài]" displayFolder="" count="0" memberValueDatatype="130" unbalanced="0"/>
    <cacheHierarchy uniqueName="[Table_Raw_Data___dài].[Nhà vận tải]" caption="Nhà vận tải" attribute="1" defaultMemberUniqueName="[Table_Raw_Data___dài].[Nhà vận tải].[All]" allUniqueName="[Table_Raw_Data___dài].[Nhà vận tải].[All]" dimensionUniqueName="[Table_Raw_Data___dài]" displayFolder="" count="0" memberValueDatatype="130" unbalanced="0"/>
    <cacheHierarchy uniqueName="[Table_Raw_Data___dài].[Chi Phí- Dài]" caption="Chi Phí- Dài" attribute="1" defaultMemberUniqueName="[Table_Raw_Data___dài].[Chi Phí- Dài].[All]" allUniqueName="[Table_Raw_Data___dài].[Chi Phí- Dài].[All]" dimensionUniqueName="[Table_Raw_Data___dài]" displayFolder="" count="0" memberValueDatatype="5" unbalanced="0"/>
    <cacheHierarchy uniqueName="[Table_Raw_Data___dài].[KPI-dài]" caption="KPI-dài" attribute="1" defaultMemberUniqueName="[Table_Raw_Data___dài].[KPI-dài].[All]" allUniqueName="[Table_Raw_Data___dài].[KPI-dài].[All]" dimensionUniqueName="[Table_Raw_Data___dài]" displayFolder="" count="0" memberValueDatatype="5" unbalanced="0"/>
    <cacheHierarchy uniqueName="[Table_Raw_Data___LTL].[Tháng]" caption="Tháng" attribute="1" defaultMemberUniqueName="[Table_Raw_Data___LTL].[Tháng].[All]" allUniqueName="[Table_Raw_Data___LTL].[Tháng].[All]" dimensionUniqueName="[Table_Raw_Data___LTL]" displayFolder="" count="2" memberValueDatatype="20" unbalanced="0"/>
    <cacheHierarchy uniqueName="[Table_Raw_Data___LTL].[Chi nhánh]" caption="Chi nhánh" attribute="1" defaultMemberUniqueName="[Table_Raw_Data___LTL].[Chi nhánh].[All]" allUniqueName="[Table_Raw_Data___LTL].[Chi nhánh].[All]" dimensionUniqueName="[Table_Raw_Data___LTL]" displayFolder="" count="2" memberValueDatatype="130" unbalanced="0"/>
    <cacheHierarchy uniqueName="[Table_Raw_Data___LTL].[Nhà vận tải]" caption="Nhà vận tải" attribute="1" defaultMemberUniqueName="[Table_Raw_Data___LTL].[Nhà vận tải].[All]" allUniqueName="[Table_Raw_Data___LTL].[Nhà vận tải].[All]" dimensionUniqueName="[Table_Raw_Data___LTL]" displayFolder="" count="0" memberValueDatatype="130" unbalanced="0"/>
    <cacheHierarchy uniqueName="[Table_Raw_Data___LTL].[Chi Phí - LTL]" caption="Chi Phí - LTL" attribute="1" defaultMemberUniqueName="[Table_Raw_Data___LTL].[Chi Phí - LTL].[All]" allUniqueName="[Table_Raw_Data___LTL].[Chi Phí - LTL].[All]" dimensionUniqueName="[Table_Raw_Data___LTL]" displayFolder="" count="0" memberValueDatatype="5" unbalanced="0"/>
    <cacheHierarchy uniqueName="[Table_Raw_Data___LTL].[KPI- LTL]" caption="KPI- LTL" attribute="1" defaultMemberUniqueName="[Table_Raw_Data___LTL].[KPI- LTL].[All]" allUniqueName="[Table_Raw_Data___LTL].[KPI- LTL].[All]" dimensionUniqueName="[Table_Raw_Data___LTL]" displayFolder="" count="0" memberValueDatatype="5" unbalanced="0"/>
    <cacheHierarchy uniqueName="[Table_Raw_Data__ngắn].[Tháng]" caption="Tháng" attribute="1" defaultMemberUniqueName="[Table_Raw_Data__ngắn].[Tháng].[All]" allUniqueName="[Table_Raw_Data__ngắn].[Tháng].[All]" dimensionUniqueName="[Table_Raw_Data__ngắn]" displayFolder="" count="0" memberValueDatatype="20" unbalanced="0"/>
    <cacheHierarchy uniqueName="[Table_Raw_Data__ngắn].[Chi nhánh]" caption="Chi nhánh" attribute="1" defaultMemberUniqueName="[Table_Raw_Data__ngắn].[Chi nhánh].[All]" allUniqueName="[Table_Raw_Data__ngắn].[Chi nhánh].[All]" dimensionUniqueName="[Table_Raw_Data__ngắn]" displayFolder="" count="0" memberValueDatatype="130" unbalanced="0"/>
    <cacheHierarchy uniqueName="[Table_Raw_Data__ngắn].[Nhà vận tải]" caption="Nhà vận tải" attribute="1" defaultMemberUniqueName="[Table_Raw_Data__ngắn].[Nhà vận tải].[All]" allUniqueName="[Table_Raw_Data__ngắn].[Nhà vận tải].[All]" dimensionUniqueName="[Table_Raw_Data__ngắn]" displayFolder="" count="0" memberValueDatatype="130" unbalanced="0"/>
    <cacheHierarchy uniqueName="[Table_Raw_Data__ngắn].[Chi Phí - ngắn]" caption="Chi Phí - ngắn" attribute="1" defaultMemberUniqueName="[Table_Raw_Data__ngắn].[Chi Phí - ngắn].[All]" allUniqueName="[Table_Raw_Data__ngắn].[Chi Phí - ngắn].[All]" dimensionUniqueName="[Table_Raw_Data__ngắn]" displayFolder="" count="0" memberValueDatatype="5" unbalanced="0"/>
    <cacheHierarchy uniqueName="[Table_Raw_Data__ngắn].[KPI- ngắn]" caption="KPI- ngắn" attribute="1" defaultMemberUniqueName="[Table_Raw_Data__ngắn].[KPI- ngắn].[All]" allUniqueName="[Table_Raw_Data__ngắn].[KPI- ngắn].[All]" dimensionUniqueName="[Table_Raw_Data__ngắn]" displayFolder="" count="0" memberValueDatatype="5" unbalanced="0"/>
    <cacheHierarchy uniqueName="[Measures].[Good]" caption="Good" measure="1" displayFolder="" measureGroup="Table_Raw_Data__ngắn" count="0"/>
    <cacheHierarchy uniqueName="[Measures].[Good.]" caption="Good." measure="1" displayFolder="" measureGroup="Table_Raw_Data__ngắn" count="0"/>
    <cacheHierarchy uniqueName="[Measures].[Need to improve]" caption="Need to improve" measure="1" displayFolder="" measureGroup="Table_Raw_Data__ngắn" count="0"/>
    <cacheHierarchy uniqueName="[Measures].[__XL_Count Table_Raw_Data__ngắn]" caption="__XL_Count Table_Raw_Data__ngắn" measure="1" displayFolder="" measureGroup="Table_Raw_Data__ngắn" count="0" hidden="1"/>
    <cacheHierarchy uniqueName="[Measures].[__XL_Count Table_Raw_Data___dài]" caption="__XL_Count Table_Raw_Data___dài" measure="1" displayFolder="" measureGroup="Table_Raw_Data___dài" count="0" hidden="1"/>
    <cacheHierarchy uniqueName="[Measures].[__XL_Count Table_Raw_Data___LTL]" caption="__XL_Count Table_Raw_Data___LTL" measure="1" displayFolder="" measureGroup="Table_Raw_Data___LTL" count="0" hidden="1"/>
    <cacheHierarchy uniqueName="[Measures].[__No measures defined]" caption="__No measures defined" measure="1" displayFolder="" count="0" hidden="1"/>
    <cacheHierarchy uniqueName="[Measures].[Average of KPI- ngắn]" caption="Average of KPI- ngắn" measure="1" displayFolder="" measureGroup="Table_Raw_Data__ngắn" count="0" hidden="1">
      <extLst>
        <ext xmlns:x15="http://schemas.microsoft.com/office/spreadsheetml/2010/11/main" uri="{B97F6D7D-B522-45F9-BDA1-12C45D357490}">
          <x15:cacheHierarchy aggregatedColumn="14"/>
        </ext>
      </extLst>
    </cacheHierarchy>
    <cacheHierarchy uniqueName="[Measures].[Sum of Chi Phí - ngắn]" caption="Sum of Chi Phí - ngắn" measure="1" displayFolder="" measureGroup="Table_Raw_Data__ngắn" count="0" hidden="1">
      <extLst>
        <ext xmlns:x15="http://schemas.microsoft.com/office/spreadsheetml/2010/11/main" uri="{B97F6D7D-B522-45F9-BDA1-12C45D357490}">
          <x15:cacheHierarchy aggregatedColumn="13"/>
        </ext>
      </extLst>
    </cacheHierarchy>
    <cacheHierarchy uniqueName="[Measures].[Sum of Chi Phí- Dài]" caption="Sum of Chi Phí- Dài" measure="1" displayFolder="" measureGroup="Table_Raw_Data___dài" count="0" hidden="1">
      <extLst>
        <ext xmlns:x15="http://schemas.microsoft.com/office/spreadsheetml/2010/11/main" uri="{B97F6D7D-B522-45F9-BDA1-12C45D357490}">
          <x15:cacheHierarchy aggregatedColumn="3"/>
        </ext>
      </extLst>
    </cacheHierarchy>
    <cacheHierarchy uniqueName="[Measures].[Sum of KPI-dài]" caption="Sum of KPI-dài" measure="1" displayFolder="" measureGroup="Table_Raw_Data___dài" count="0" hidden="1">
      <extLst>
        <ext xmlns:x15="http://schemas.microsoft.com/office/spreadsheetml/2010/11/main" uri="{B97F6D7D-B522-45F9-BDA1-12C45D357490}">
          <x15:cacheHierarchy aggregatedColumn="4"/>
        </ext>
      </extLst>
    </cacheHierarchy>
    <cacheHierarchy uniqueName="[Measures].[Average of KPI-dài]" caption="Average of KPI-dài" measure="1" displayFolder="" measureGroup="Table_Raw_Data___dài" count="0" hidden="1">
      <extLst>
        <ext xmlns:x15="http://schemas.microsoft.com/office/spreadsheetml/2010/11/main" uri="{B97F6D7D-B522-45F9-BDA1-12C45D357490}">
          <x15:cacheHierarchy aggregatedColumn="4"/>
        </ext>
      </extLst>
    </cacheHierarchy>
    <cacheHierarchy uniqueName="[Measures].[Sum of Chi Phí - LTL]" caption="Sum of Chi Phí - LTL" measure="1" displayFolder="" measureGroup="Table_Raw_Data___LTL" count="0" hidden="1">
      <extLst>
        <ext xmlns:x15="http://schemas.microsoft.com/office/spreadsheetml/2010/11/main" uri="{B97F6D7D-B522-45F9-BDA1-12C45D357490}">
          <x15:cacheHierarchy aggregatedColumn="8"/>
        </ext>
      </extLst>
    </cacheHierarchy>
    <cacheHierarchy uniqueName="[Measures].[Sum of KPI- LTL]" caption="Sum of KPI- LTL" measure="1" displayFolder="" measureGroup="Table_Raw_Data___LTL" count="0" hidden="1">
      <extLst>
        <ext xmlns:x15="http://schemas.microsoft.com/office/spreadsheetml/2010/11/main" uri="{B97F6D7D-B522-45F9-BDA1-12C45D357490}">
          <x15:cacheHierarchy aggregatedColumn="9"/>
        </ext>
      </extLst>
    </cacheHierarchy>
    <cacheHierarchy uniqueName="[Measures].[Average of KPI- LTL]" caption="Average of KPI- LTL" measure="1" displayFolder="" measureGroup="Table_Raw_Data___LTL" count="0" hidden="1">
      <extLst>
        <ext xmlns:x15="http://schemas.microsoft.com/office/spreadsheetml/2010/11/main" uri="{B97F6D7D-B522-45F9-BDA1-12C45D357490}">
          <x15:cacheHierarchy aggregatedColumn="9"/>
        </ext>
      </extLst>
    </cacheHierarchy>
  </cacheHierarchies>
  <kpis count="0"/>
  <extLst>
    <ext xmlns:x14="http://schemas.microsoft.com/office/spreadsheetml/2009/9/main" uri="{725AE2AE-9491-48be-B2B4-4EB974FC3084}">
      <x14:pivotCacheDefinition slicerData="1" pivotCacheId="1102048968" supportSubqueryNonVisual="1" supportSubqueryCalcMem="1" supportAddCalcMems="1"/>
    </ext>
  </extLst>
</pivotCacheDefinition>
</file>

<file path=xl/pivotCache/pivotCacheDefinition1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Nguyen Minh Tien" refreshedDate="45134.564501967594" backgroundQuery="1" createdVersion="3" refreshedVersion="8" minRefreshableVersion="3" recordCount="0" supportSubquery="1" supportAdvancedDrill="1" xr:uid="{D88C399E-BF61-41A1-9B83-A1BBDF67C7FE}">
  <cacheSource type="external" connectionId="5">
    <extLst>
      <ext xmlns:x14="http://schemas.microsoft.com/office/spreadsheetml/2009/9/main" uri="{F057638F-6D5F-4e77-A914-E7F072B9BCA8}">
        <x14:sourceConnection name="ThisWorkbookDataModel"/>
      </ext>
    </extLst>
  </cacheSource>
  <cacheFields count="0"/>
  <cacheHierarchies count="30">
    <cacheHierarchy uniqueName="[Table_Raw_Data___dài].[Tháng]" caption="Tháng" attribute="1" defaultMemberUniqueName="[Table_Raw_Data___dài].[Tháng].[All]" allUniqueName="[Table_Raw_Data___dài].[Tháng].[All]" dimensionUniqueName="[Table_Raw_Data___dài]" displayFolder="" count="0" memberValueDatatype="20" unbalanced="0"/>
    <cacheHierarchy uniqueName="[Table_Raw_Data___dài].[Chi nhánh]" caption="Chi nhánh" attribute="1" defaultMemberUniqueName="[Table_Raw_Data___dài].[Chi nhánh].[All]" allUniqueName="[Table_Raw_Data___dài].[Chi nhánh].[All]" dimensionUniqueName="[Table_Raw_Data___dài]" displayFolder="" count="0" memberValueDatatype="130" unbalanced="0"/>
    <cacheHierarchy uniqueName="[Table_Raw_Data___dài].[Nhà vận tải]" caption="Nhà vận tải" attribute="1" defaultMemberUniqueName="[Table_Raw_Data___dài].[Nhà vận tải].[All]" allUniqueName="[Table_Raw_Data___dài].[Nhà vận tải].[All]" dimensionUniqueName="[Table_Raw_Data___dài]" displayFolder="" count="0" memberValueDatatype="130" unbalanced="0"/>
    <cacheHierarchy uniqueName="[Table_Raw_Data___dài].[Chi Phí- Dài]" caption="Chi Phí- Dài" attribute="1" defaultMemberUniqueName="[Table_Raw_Data___dài].[Chi Phí- Dài].[All]" allUniqueName="[Table_Raw_Data___dài].[Chi Phí- Dài].[All]" dimensionUniqueName="[Table_Raw_Data___dài]" displayFolder="" count="0" memberValueDatatype="5" unbalanced="0"/>
    <cacheHierarchy uniqueName="[Table_Raw_Data___dài].[KPI-dài]" caption="KPI-dài" attribute="1" defaultMemberUniqueName="[Table_Raw_Data___dài].[KPI-dài].[All]" allUniqueName="[Table_Raw_Data___dài].[KPI-dài].[All]" dimensionUniqueName="[Table_Raw_Data___dài]" displayFolder="" count="0" memberValueDatatype="5" unbalanced="0"/>
    <cacheHierarchy uniqueName="[Table_Raw_Data___LTL].[Tháng]" caption="Tháng" attribute="1" defaultMemberUniqueName="[Table_Raw_Data___LTL].[Tháng].[All]" allUniqueName="[Table_Raw_Data___LTL].[Tháng].[All]" dimensionUniqueName="[Table_Raw_Data___LTL]" displayFolder="" count="2" memberValueDatatype="20" unbalanced="0"/>
    <cacheHierarchy uniqueName="[Table_Raw_Data___LTL].[Chi nhánh]" caption="Chi nhánh" attribute="1" defaultMemberUniqueName="[Table_Raw_Data___LTL].[Chi nhánh].[All]" allUniqueName="[Table_Raw_Data___LTL].[Chi nhánh].[All]" dimensionUniqueName="[Table_Raw_Data___LTL]" displayFolder="" count="2" memberValueDatatype="130" unbalanced="0"/>
    <cacheHierarchy uniqueName="[Table_Raw_Data___LTL].[Nhà vận tải]" caption="Nhà vận tải" attribute="1" defaultMemberUniqueName="[Table_Raw_Data___LTL].[Nhà vận tải].[All]" allUniqueName="[Table_Raw_Data___LTL].[Nhà vận tải].[All]" dimensionUniqueName="[Table_Raw_Data___LTL]" displayFolder="" count="0" memberValueDatatype="130" unbalanced="0"/>
    <cacheHierarchy uniqueName="[Table_Raw_Data___LTL].[Chi Phí - LTL]" caption="Chi Phí - LTL" attribute="1" defaultMemberUniqueName="[Table_Raw_Data___LTL].[Chi Phí - LTL].[All]" allUniqueName="[Table_Raw_Data___LTL].[Chi Phí - LTL].[All]" dimensionUniqueName="[Table_Raw_Data___LTL]" displayFolder="" count="0" memberValueDatatype="5" unbalanced="0"/>
    <cacheHierarchy uniqueName="[Table_Raw_Data___LTL].[KPI- LTL]" caption="KPI- LTL" attribute="1" defaultMemberUniqueName="[Table_Raw_Data___LTL].[KPI- LTL].[All]" allUniqueName="[Table_Raw_Data___LTL].[KPI- LTL].[All]" dimensionUniqueName="[Table_Raw_Data___LTL]" displayFolder="" count="0" memberValueDatatype="5" unbalanced="0"/>
    <cacheHierarchy uniqueName="[Table_Raw_Data__ngắn].[Tháng]" caption="Tháng" attribute="1" defaultMemberUniqueName="[Table_Raw_Data__ngắn].[Tháng].[All]" allUniqueName="[Table_Raw_Data__ngắn].[Tháng].[All]" dimensionUniqueName="[Table_Raw_Data__ngắn]" displayFolder="" count="0" memberValueDatatype="20" unbalanced="0"/>
    <cacheHierarchy uniqueName="[Table_Raw_Data__ngắn].[Chi nhánh]" caption="Chi nhánh" attribute="1" defaultMemberUniqueName="[Table_Raw_Data__ngắn].[Chi nhánh].[All]" allUniqueName="[Table_Raw_Data__ngắn].[Chi nhánh].[All]" dimensionUniqueName="[Table_Raw_Data__ngắn]" displayFolder="" count="0" memberValueDatatype="130" unbalanced="0"/>
    <cacheHierarchy uniqueName="[Table_Raw_Data__ngắn].[Nhà vận tải]" caption="Nhà vận tải" attribute="1" defaultMemberUniqueName="[Table_Raw_Data__ngắn].[Nhà vận tải].[All]" allUniqueName="[Table_Raw_Data__ngắn].[Nhà vận tải].[All]" dimensionUniqueName="[Table_Raw_Data__ngắn]" displayFolder="" count="0" memberValueDatatype="130" unbalanced="0"/>
    <cacheHierarchy uniqueName="[Table_Raw_Data__ngắn].[Chi Phí - ngắn]" caption="Chi Phí - ngắn" attribute="1" defaultMemberUniqueName="[Table_Raw_Data__ngắn].[Chi Phí - ngắn].[All]" allUniqueName="[Table_Raw_Data__ngắn].[Chi Phí - ngắn].[All]" dimensionUniqueName="[Table_Raw_Data__ngắn]" displayFolder="" count="0" memberValueDatatype="5" unbalanced="0"/>
    <cacheHierarchy uniqueName="[Table_Raw_Data__ngắn].[KPI- ngắn]" caption="KPI- ngắn" attribute="1" defaultMemberUniqueName="[Table_Raw_Data__ngắn].[KPI- ngắn].[All]" allUniqueName="[Table_Raw_Data__ngắn].[KPI- ngắn].[All]" dimensionUniqueName="[Table_Raw_Data__ngắn]" displayFolder="" count="0" memberValueDatatype="5" unbalanced="0"/>
    <cacheHierarchy uniqueName="[Measures].[Good]" caption="Good" measure="1" displayFolder="" measureGroup="Table_Raw_Data__ngắn" count="0"/>
    <cacheHierarchy uniqueName="[Measures].[Good.]" caption="Good." measure="1" displayFolder="" measureGroup="Table_Raw_Data__ngắn" count="0"/>
    <cacheHierarchy uniqueName="[Measures].[Need to improve]" caption="Need to improve" measure="1" displayFolder="" measureGroup="Table_Raw_Data__ngắn" count="0"/>
    <cacheHierarchy uniqueName="[Measures].[__XL_Count Table_Raw_Data__ngắn]" caption="__XL_Count Table_Raw_Data__ngắn" measure="1" displayFolder="" measureGroup="Table_Raw_Data__ngắn" count="0" hidden="1"/>
    <cacheHierarchy uniqueName="[Measures].[__XL_Count Table_Raw_Data___dài]" caption="__XL_Count Table_Raw_Data___dài" measure="1" displayFolder="" measureGroup="Table_Raw_Data___dài" count="0" hidden="1"/>
    <cacheHierarchy uniqueName="[Measures].[__XL_Count Table_Raw_Data___LTL]" caption="__XL_Count Table_Raw_Data___LTL" measure="1" displayFolder="" measureGroup="Table_Raw_Data___LTL" count="0" hidden="1"/>
    <cacheHierarchy uniqueName="[Measures].[__No measures defined]" caption="__No measures defined" measure="1" displayFolder="" count="0" hidden="1"/>
    <cacheHierarchy uniqueName="[Measures].[Average of KPI- ngắn]" caption="Average of KPI- ngắn" measure="1" displayFolder="" measureGroup="Table_Raw_Data__ngắn" count="0" hidden="1">
      <extLst>
        <ext xmlns:x15="http://schemas.microsoft.com/office/spreadsheetml/2010/11/main" uri="{B97F6D7D-B522-45F9-BDA1-12C45D357490}">
          <x15:cacheHierarchy aggregatedColumn="14"/>
        </ext>
      </extLst>
    </cacheHierarchy>
    <cacheHierarchy uniqueName="[Measures].[Sum of Chi Phí - ngắn]" caption="Sum of Chi Phí - ngắn" measure="1" displayFolder="" measureGroup="Table_Raw_Data__ngắn" count="0" hidden="1">
      <extLst>
        <ext xmlns:x15="http://schemas.microsoft.com/office/spreadsheetml/2010/11/main" uri="{B97F6D7D-B522-45F9-BDA1-12C45D357490}">
          <x15:cacheHierarchy aggregatedColumn="13"/>
        </ext>
      </extLst>
    </cacheHierarchy>
    <cacheHierarchy uniqueName="[Measures].[Sum of Chi Phí- Dài]" caption="Sum of Chi Phí- Dài" measure="1" displayFolder="" measureGroup="Table_Raw_Data___dài" count="0" hidden="1">
      <extLst>
        <ext xmlns:x15="http://schemas.microsoft.com/office/spreadsheetml/2010/11/main" uri="{B97F6D7D-B522-45F9-BDA1-12C45D357490}">
          <x15:cacheHierarchy aggregatedColumn="3"/>
        </ext>
      </extLst>
    </cacheHierarchy>
    <cacheHierarchy uniqueName="[Measures].[Sum of KPI-dài]" caption="Sum of KPI-dài" measure="1" displayFolder="" measureGroup="Table_Raw_Data___dài" count="0" hidden="1">
      <extLst>
        <ext xmlns:x15="http://schemas.microsoft.com/office/spreadsheetml/2010/11/main" uri="{B97F6D7D-B522-45F9-BDA1-12C45D357490}">
          <x15:cacheHierarchy aggregatedColumn="4"/>
        </ext>
      </extLst>
    </cacheHierarchy>
    <cacheHierarchy uniqueName="[Measures].[Average of KPI-dài]" caption="Average of KPI-dài" measure="1" displayFolder="" measureGroup="Table_Raw_Data___dài" count="0" hidden="1">
      <extLst>
        <ext xmlns:x15="http://schemas.microsoft.com/office/spreadsheetml/2010/11/main" uri="{B97F6D7D-B522-45F9-BDA1-12C45D357490}">
          <x15:cacheHierarchy aggregatedColumn="4"/>
        </ext>
      </extLst>
    </cacheHierarchy>
    <cacheHierarchy uniqueName="[Measures].[Sum of Chi Phí - LTL]" caption="Sum of Chi Phí - LTL" measure="1" displayFolder="" measureGroup="Table_Raw_Data___LTL" count="0" hidden="1">
      <extLst>
        <ext xmlns:x15="http://schemas.microsoft.com/office/spreadsheetml/2010/11/main" uri="{B97F6D7D-B522-45F9-BDA1-12C45D357490}">
          <x15:cacheHierarchy aggregatedColumn="8"/>
        </ext>
      </extLst>
    </cacheHierarchy>
    <cacheHierarchy uniqueName="[Measures].[Sum of KPI- LTL]" caption="Sum of KPI- LTL" measure="1" displayFolder="" measureGroup="Table_Raw_Data___LTL" count="0" hidden="1">
      <extLst>
        <ext xmlns:x15="http://schemas.microsoft.com/office/spreadsheetml/2010/11/main" uri="{B97F6D7D-B522-45F9-BDA1-12C45D357490}">
          <x15:cacheHierarchy aggregatedColumn="9"/>
        </ext>
      </extLst>
    </cacheHierarchy>
    <cacheHierarchy uniqueName="[Measures].[Average of KPI- LTL]" caption="Average of KPI- LTL" measure="1" displayFolder="" measureGroup="Table_Raw_Data___LTL" count="0" hidden="1">
      <extLst>
        <ext xmlns:x15="http://schemas.microsoft.com/office/spreadsheetml/2010/11/main" uri="{B97F6D7D-B522-45F9-BDA1-12C45D357490}">
          <x15:cacheHierarchy aggregatedColumn="9"/>
        </ext>
      </extLst>
    </cacheHierarchy>
  </cacheHierarchies>
  <kpis count="0"/>
  <extLst>
    <ext xmlns:x14="http://schemas.microsoft.com/office/spreadsheetml/2009/9/main" uri="{725AE2AE-9491-48be-B2B4-4EB974FC3084}">
      <x14:pivotCacheDefinition slicerData="1" pivotCacheId="412623320" supportSubqueryNonVisual="1" supportSubqueryCalcMem="1" supportAddCalcMems="1"/>
    </ext>
  </extLst>
</pivotCacheDefinition>
</file>

<file path=xl/pivotCache/pivotCacheDefinition1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Nguyen Minh Tien" refreshedDate="45134.564508217591" backgroundQuery="1" createdVersion="3" refreshedVersion="8" minRefreshableVersion="3" recordCount="0" supportSubquery="1" supportAdvancedDrill="1" xr:uid="{B89A3823-88BB-4C29-ADC8-19965B9552AF}">
  <cacheSource type="external" connectionId="5">
    <extLst>
      <ext xmlns:x14="http://schemas.microsoft.com/office/spreadsheetml/2009/9/main" uri="{F057638F-6D5F-4e77-A914-E7F072B9BCA8}">
        <x14:sourceConnection name="ThisWorkbookDataModel"/>
      </ext>
    </extLst>
  </cacheSource>
  <cacheFields count="0"/>
  <cacheHierarchies count="30">
    <cacheHierarchy uniqueName="[Table_Raw_Data___dài].[Tháng]" caption="Tháng" attribute="1" defaultMemberUniqueName="[Table_Raw_Data___dài].[Tháng].[All]" allUniqueName="[Table_Raw_Data___dài].[Tháng].[All]" dimensionUniqueName="[Table_Raw_Data___dài]" displayFolder="" count="2" memberValueDatatype="20" unbalanced="0"/>
    <cacheHierarchy uniqueName="[Table_Raw_Data___dài].[Chi nhánh]" caption="Chi nhánh" attribute="1" defaultMemberUniqueName="[Table_Raw_Data___dài].[Chi nhánh].[All]" allUniqueName="[Table_Raw_Data___dài].[Chi nhánh].[All]" dimensionUniqueName="[Table_Raw_Data___dài]" displayFolder="" count="2" memberValueDatatype="130" unbalanced="0"/>
    <cacheHierarchy uniqueName="[Table_Raw_Data___dài].[Nhà vận tải]" caption="Nhà vận tải" attribute="1" defaultMemberUniqueName="[Table_Raw_Data___dài].[Nhà vận tải].[All]" allUniqueName="[Table_Raw_Data___dài].[Nhà vận tải].[All]" dimensionUniqueName="[Table_Raw_Data___dài]" displayFolder="" count="0" memberValueDatatype="130" unbalanced="0"/>
    <cacheHierarchy uniqueName="[Table_Raw_Data___dài].[Chi Phí- Dài]" caption="Chi Phí- Dài" attribute="1" defaultMemberUniqueName="[Table_Raw_Data___dài].[Chi Phí- Dài].[All]" allUniqueName="[Table_Raw_Data___dài].[Chi Phí- Dài].[All]" dimensionUniqueName="[Table_Raw_Data___dài]" displayFolder="" count="0" memberValueDatatype="5" unbalanced="0"/>
    <cacheHierarchy uniqueName="[Table_Raw_Data___dài].[KPI-dài]" caption="KPI-dài" attribute="1" defaultMemberUniqueName="[Table_Raw_Data___dài].[KPI-dài].[All]" allUniqueName="[Table_Raw_Data___dài].[KPI-dài].[All]" dimensionUniqueName="[Table_Raw_Data___dài]" displayFolder="" count="0" memberValueDatatype="5" unbalanced="0"/>
    <cacheHierarchy uniqueName="[Table_Raw_Data___LTL].[Tháng]" caption="Tháng" attribute="1" defaultMemberUniqueName="[Table_Raw_Data___LTL].[Tháng].[All]" allUniqueName="[Table_Raw_Data___LTL].[Tháng].[All]" dimensionUniqueName="[Table_Raw_Data___LTL]" displayFolder="" count="0" memberValueDatatype="20" unbalanced="0"/>
    <cacheHierarchy uniqueName="[Table_Raw_Data___LTL].[Chi nhánh]" caption="Chi nhánh" attribute="1" defaultMemberUniqueName="[Table_Raw_Data___LTL].[Chi nhánh].[All]" allUniqueName="[Table_Raw_Data___LTL].[Chi nhánh].[All]" dimensionUniqueName="[Table_Raw_Data___LTL]" displayFolder="" count="0" memberValueDatatype="130" unbalanced="0"/>
    <cacheHierarchy uniqueName="[Table_Raw_Data___LTL].[Nhà vận tải]" caption="Nhà vận tải" attribute="1" defaultMemberUniqueName="[Table_Raw_Data___LTL].[Nhà vận tải].[All]" allUniqueName="[Table_Raw_Data___LTL].[Nhà vận tải].[All]" dimensionUniqueName="[Table_Raw_Data___LTL]" displayFolder="" count="0" memberValueDatatype="130" unbalanced="0"/>
    <cacheHierarchy uniqueName="[Table_Raw_Data___LTL].[Chi Phí - LTL]" caption="Chi Phí - LTL" attribute="1" defaultMemberUniqueName="[Table_Raw_Data___LTL].[Chi Phí - LTL].[All]" allUniqueName="[Table_Raw_Data___LTL].[Chi Phí - LTL].[All]" dimensionUniqueName="[Table_Raw_Data___LTL]" displayFolder="" count="0" memberValueDatatype="5" unbalanced="0"/>
    <cacheHierarchy uniqueName="[Table_Raw_Data___LTL].[KPI- LTL]" caption="KPI- LTL" attribute="1" defaultMemberUniqueName="[Table_Raw_Data___LTL].[KPI- LTL].[All]" allUniqueName="[Table_Raw_Data___LTL].[KPI- LTL].[All]" dimensionUniqueName="[Table_Raw_Data___LTL]" displayFolder="" count="0" memberValueDatatype="5" unbalanced="0"/>
    <cacheHierarchy uniqueName="[Table_Raw_Data__ngắn].[Tháng]" caption="Tháng" attribute="1" defaultMemberUniqueName="[Table_Raw_Data__ngắn].[Tháng].[All]" allUniqueName="[Table_Raw_Data__ngắn].[Tháng].[All]" dimensionUniqueName="[Table_Raw_Data__ngắn]" displayFolder="" count="0" memberValueDatatype="20" unbalanced="0"/>
    <cacheHierarchy uniqueName="[Table_Raw_Data__ngắn].[Chi nhánh]" caption="Chi nhánh" attribute="1" defaultMemberUniqueName="[Table_Raw_Data__ngắn].[Chi nhánh].[All]" allUniqueName="[Table_Raw_Data__ngắn].[Chi nhánh].[All]" dimensionUniqueName="[Table_Raw_Data__ngắn]" displayFolder="" count="0" memberValueDatatype="130" unbalanced="0"/>
    <cacheHierarchy uniqueName="[Table_Raw_Data__ngắn].[Nhà vận tải]" caption="Nhà vận tải" attribute="1" defaultMemberUniqueName="[Table_Raw_Data__ngắn].[Nhà vận tải].[All]" allUniqueName="[Table_Raw_Data__ngắn].[Nhà vận tải].[All]" dimensionUniqueName="[Table_Raw_Data__ngắn]" displayFolder="" count="0" memberValueDatatype="130" unbalanced="0"/>
    <cacheHierarchy uniqueName="[Table_Raw_Data__ngắn].[Chi Phí - ngắn]" caption="Chi Phí - ngắn" attribute="1" defaultMemberUniqueName="[Table_Raw_Data__ngắn].[Chi Phí - ngắn].[All]" allUniqueName="[Table_Raw_Data__ngắn].[Chi Phí - ngắn].[All]" dimensionUniqueName="[Table_Raw_Data__ngắn]" displayFolder="" count="0" memberValueDatatype="5" unbalanced="0"/>
    <cacheHierarchy uniqueName="[Table_Raw_Data__ngắn].[KPI- ngắn]" caption="KPI- ngắn" attribute="1" defaultMemberUniqueName="[Table_Raw_Data__ngắn].[KPI- ngắn].[All]" allUniqueName="[Table_Raw_Data__ngắn].[KPI- ngắn].[All]" dimensionUniqueName="[Table_Raw_Data__ngắn]" displayFolder="" count="0" memberValueDatatype="5" unbalanced="0"/>
    <cacheHierarchy uniqueName="[Measures].[Good]" caption="Good" measure="1" displayFolder="" measureGroup="Table_Raw_Data__ngắn" count="0"/>
    <cacheHierarchy uniqueName="[Measures].[Good.]" caption="Good." measure="1" displayFolder="" measureGroup="Table_Raw_Data__ngắn" count="0"/>
    <cacheHierarchy uniqueName="[Measures].[Need to improve]" caption="Need to improve" measure="1" displayFolder="" measureGroup="Table_Raw_Data__ngắn" count="0"/>
    <cacheHierarchy uniqueName="[Measures].[__XL_Count Table_Raw_Data__ngắn]" caption="__XL_Count Table_Raw_Data__ngắn" measure="1" displayFolder="" measureGroup="Table_Raw_Data__ngắn" count="0" hidden="1"/>
    <cacheHierarchy uniqueName="[Measures].[__XL_Count Table_Raw_Data___dài]" caption="__XL_Count Table_Raw_Data___dài" measure="1" displayFolder="" measureGroup="Table_Raw_Data___dài" count="0" hidden="1"/>
    <cacheHierarchy uniqueName="[Measures].[__XL_Count Table_Raw_Data___LTL]" caption="__XL_Count Table_Raw_Data___LTL" measure="1" displayFolder="" measureGroup="Table_Raw_Data___LTL" count="0" hidden="1"/>
    <cacheHierarchy uniqueName="[Measures].[__No measures defined]" caption="__No measures defined" measure="1" displayFolder="" count="0" hidden="1"/>
    <cacheHierarchy uniqueName="[Measures].[Average of KPI- ngắn]" caption="Average of KPI- ngắn" measure="1" displayFolder="" measureGroup="Table_Raw_Data__ngắn" count="0" hidden="1">
      <extLst>
        <ext xmlns:x15="http://schemas.microsoft.com/office/spreadsheetml/2010/11/main" uri="{B97F6D7D-B522-45F9-BDA1-12C45D357490}">
          <x15:cacheHierarchy aggregatedColumn="14"/>
        </ext>
      </extLst>
    </cacheHierarchy>
    <cacheHierarchy uniqueName="[Measures].[Sum of Chi Phí - ngắn]" caption="Sum of Chi Phí - ngắn" measure="1" displayFolder="" measureGroup="Table_Raw_Data__ngắn" count="0" hidden="1">
      <extLst>
        <ext xmlns:x15="http://schemas.microsoft.com/office/spreadsheetml/2010/11/main" uri="{B97F6D7D-B522-45F9-BDA1-12C45D357490}">
          <x15:cacheHierarchy aggregatedColumn="13"/>
        </ext>
      </extLst>
    </cacheHierarchy>
    <cacheHierarchy uniqueName="[Measures].[Sum of Chi Phí- Dài]" caption="Sum of Chi Phí- Dài" measure="1" displayFolder="" measureGroup="Table_Raw_Data___dài" count="0" hidden="1">
      <extLst>
        <ext xmlns:x15="http://schemas.microsoft.com/office/spreadsheetml/2010/11/main" uri="{B97F6D7D-B522-45F9-BDA1-12C45D357490}">
          <x15:cacheHierarchy aggregatedColumn="3"/>
        </ext>
      </extLst>
    </cacheHierarchy>
    <cacheHierarchy uniqueName="[Measures].[Sum of KPI-dài]" caption="Sum of KPI-dài" measure="1" displayFolder="" measureGroup="Table_Raw_Data___dài" count="0" hidden="1">
      <extLst>
        <ext xmlns:x15="http://schemas.microsoft.com/office/spreadsheetml/2010/11/main" uri="{B97F6D7D-B522-45F9-BDA1-12C45D357490}">
          <x15:cacheHierarchy aggregatedColumn="4"/>
        </ext>
      </extLst>
    </cacheHierarchy>
    <cacheHierarchy uniqueName="[Measures].[Average of KPI-dài]" caption="Average of KPI-dài" measure="1" displayFolder="" measureGroup="Table_Raw_Data___dài" count="0" hidden="1">
      <extLst>
        <ext xmlns:x15="http://schemas.microsoft.com/office/spreadsheetml/2010/11/main" uri="{B97F6D7D-B522-45F9-BDA1-12C45D357490}">
          <x15:cacheHierarchy aggregatedColumn="4"/>
        </ext>
      </extLst>
    </cacheHierarchy>
    <cacheHierarchy uniqueName="[Measures].[Sum of Chi Phí - LTL]" caption="Sum of Chi Phí - LTL" measure="1" displayFolder="" measureGroup="Table_Raw_Data___LTL" count="0" hidden="1">
      <extLst>
        <ext xmlns:x15="http://schemas.microsoft.com/office/spreadsheetml/2010/11/main" uri="{B97F6D7D-B522-45F9-BDA1-12C45D357490}">
          <x15:cacheHierarchy aggregatedColumn="8"/>
        </ext>
      </extLst>
    </cacheHierarchy>
    <cacheHierarchy uniqueName="[Measures].[Sum of KPI- LTL]" caption="Sum of KPI- LTL" measure="1" displayFolder="" measureGroup="Table_Raw_Data___LTL" count="0" hidden="1">
      <extLst>
        <ext xmlns:x15="http://schemas.microsoft.com/office/spreadsheetml/2010/11/main" uri="{B97F6D7D-B522-45F9-BDA1-12C45D357490}">
          <x15:cacheHierarchy aggregatedColumn="9"/>
        </ext>
      </extLst>
    </cacheHierarchy>
    <cacheHierarchy uniqueName="[Measures].[Average of KPI- LTL]" caption="Average of KPI- LTL" measure="1" displayFolder="" measureGroup="Table_Raw_Data___LTL" count="0" hidden="1">
      <extLst>
        <ext xmlns:x15="http://schemas.microsoft.com/office/spreadsheetml/2010/11/main" uri="{B97F6D7D-B522-45F9-BDA1-12C45D357490}">
          <x15:cacheHierarchy aggregatedColumn="9"/>
        </ext>
      </extLst>
    </cacheHierarchy>
  </cacheHierarchies>
  <kpis count="0"/>
  <extLst>
    <ext xmlns:x14="http://schemas.microsoft.com/office/spreadsheetml/2009/9/main" uri="{725AE2AE-9491-48be-B2B4-4EB974FC3084}">
      <x14:pivotCacheDefinition slicerData="1" pivotCacheId="1066703645" supportSubqueryNonVisual="1" supportSubqueryCalcMem="1" supportAddCalcMems="1"/>
    </ext>
  </extLst>
</pivotCacheDefinition>
</file>

<file path=xl/pivotCache/pivotCacheDefinition1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Nguyen Minh Tien" refreshedDate="45134.564514467595" backgroundQuery="1" createdVersion="3" refreshedVersion="8" minRefreshableVersion="3" recordCount="0" supportSubquery="1" supportAdvancedDrill="1" xr:uid="{84A33B57-E066-4631-A690-92CC70608533}">
  <cacheSource type="external" connectionId="5">
    <extLst>
      <ext xmlns:x14="http://schemas.microsoft.com/office/spreadsheetml/2009/9/main" uri="{F057638F-6D5F-4e77-A914-E7F072B9BCA8}">
        <x14:sourceConnection name="ThisWorkbookDataModel"/>
      </ext>
    </extLst>
  </cacheSource>
  <cacheFields count="0"/>
  <cacheHierarchies count="30">
    <cacheHierarchy uniqueName="[Table_Raw_Data___dài].[Tháng]" caption="Tháng" attribute="1" defaultMemberUniqueName="[Table_Raw_Data___dài].[Tháng].[All]" allUniqueName="[Table_Raw_Data___dài].[Tháng].[All]" dimensionUniqueName="[Table_Raw_Data___dài]" displayFolder="" count="2" memberValueDatatype="20" unbalanced="0"/>
    <cacheHierarchy uniqueName="[Table_Raw_Data___dài].[Chi nhánh]" caption="Chi nhánh" attribute="1" defaultMemberUniqueName="[Table_Raw_Data___dài].[Chi nhánh].[All]" allUniqueName="[Table_Raw_Data___dài].[Chi nhánh].[All]" dimensionUniqueName="[Table_Raw_Data___dài]" displayFolder="" count="2" memberValueDatatype="130" unbalanced="0"/>
    <cacheHierarchy uniqueName="[Table_Raw_Data___dài].[Nhà vận tải]" caption="Nhà vận tải" attribute="1" defaultMemberUniqueName="[Table_Raw_Data___dài].[Nhà vận tải].[All]" allUniqueName="[Table_Raw_Data___dài].[Nhà vận tải].[All]" dimensionUniqueName="[Table_Raw_Data___dài]" displayFolder="" count="0" memberValueDatatype="130" unbalanced="0"/>
    <cacheHierarchy uniqueName="[Table_Raw_Data___dài].[Chi Phí- Dài]" caption="Chi Phí- Dài" attribute="1" defaultMemberUniqueName="[Table_Raw_Data___dài].[Chi Phí- Dài].[All]" allUniqueName="[Table_Raw_Data___dài].[Chi Phí- Dài].[All]" dimensionUniqueName="[Table_Raw_Data___dài]" displayFolder="" count="0" memberValueDatatype="5" unbalanced="0"/>
    <cacheHierarchy uniqueName="[Table_Raw_Data___dài].[KPI-dài]" caption="KPI-dài" attribute="1" defaultMemberUniqueName="[Table_Raw_Data___dài].[KPI-dài].[All]" allUniqueName="[Table_Raw_Data___dài].[KPI-dài].[All]" dimensionUniqueName="[Table_Raw_Data___dài]" displayFolder="" count="0" memberValueDatatype="5" unbalanced="0"/>
    <cacheHierarchy uniqueName="[Table_Raw_Data___LTL].[Tháng]" caption="Tháng" attribute="1" defaultMemberUniqueName="[Table_Raw_Data___LTL].[Tháng].[All]" allUniqueName="[Table_Raw_Data___LTL].[Tháng].[All]" dimensionUniqueName="[Table_Raw_Data___LTL]" displayFolder="" count="0" memberValueDatatype="20" unbalanced="0"/>
    <cacheHierarchy uniqueName="[Table_Raw_Data___LTL].[Chi nhánh]" caption="Chi nhánh" attribute="1" defaultMemberUniqueName="[Table_Raw_Data___LTL].[Chi nhánh].[All]" allUniqueName="[Table_Raw_Data___LTL].[Chi nhánh].[All]" dimensionUniqueName="[Table_Raw_Data___LTL]" displayFolder="" count="0" memberValueDatatype="130" unbalanced="0"/>
    <cacheHierarchy uniqueName="[Table_Raw_Data___LTL].[Nhà vận tải]" caption="Nhà vận tải" attribute="1" defaultMemberUniqueName="[Table_Raw_Data___LTL].[Nhà vận tải].[All]" allUniqueName="[Table_Raw_Data___LTL].[Nhà vận tải].[All]" dimensionUniqueName="[Table_Raw_Data___LTL]" displayFolder="" count="0" memberValueDatatype="130" unbalanced="0"/>
    <cacheHierarchy uniqueName="[Table_Raw_Data___LTL].[Chi Phí - LTL]" caption="Chi Phí - LTL" attribute="1" defaultMemberUniqueName="[Table_Raw_Data___LTL].[Chi Phí - LTL].[All]" allUniqueName="[Table_Raw_Data___LTL].[Chi Phí - LTL].[All]" dimensionUniqueName="[Table_Raw_Data___LTL]" displayFolder="" count="0" memberValueDatatype="5" unbalanced="0"/>
    <cacheHierarchy uniqueName="[Table_Raw_Data___LTL].[KPI- LTL]" caption="KPI- LTL" attribute="1" defaultMemberUniqueName="[Table_Raw_Data___LTL].[KPI- LTL].[All]" allUniqueName="[Table_Raw_Data___LTL].[KPI- LTL].[All]" dimensionUniqueName="[Table_Raw_Data___LTL]" displayFolder="" count="0" memberValueDatatype="5" unbalanced="0"/>
    <cacheHierarchy uniqueName="[Table_Raw_Data__ngắn].[Tháng]" caption="Tháng" attribute="1" defaultMemberUniqueName="[Table_Raw_Data__ngắn].[Tháng].[All]" allUniqueName="[Table_Raw_Data__ngắn].[Tháng].[All]" dimensionUniqueName="[Table_Raw_Data__ngắn]" displayFolder="" count="0" memberValueDatatype="20" unbalanced="0"/>
    <cacheHierarchy uniqueName="[Table_Raw_Data__ngắn].[Chi nhánh]" caption="Chi nhánh" attribute="1" defaultMemberUniqueName="[Table_Raw_Data__ngắn].[Chi nhánh].[All]" allUniqueName="[Table_Raw_Data__ngắn].[Chi nhánh].[All]" dimensionUniqueName="[Table_Raw_Data__ngắn]" displayFolder="" count="0" memberValueDatatype="130" unbalanced="0"/>
    <cacheHierarchy uniqueName="[Table_Raw_Data__ngắn].[Nhà vận tải]" caption="Nhà vận tải" attribute="1" defaultMemberUniqueName="[Table_Raw_Data__ngắn].[Nhà vận tải].[All]" allUniqueName="[Table_Raw_Data__ngắn].[Nhà vận tải].[All]" dimensionUniqueName="[Table_Raw_Data__ngắn]" displayFolder="" count="0" memberValueDatatype="130" unbalanced="0"/>
    <cacheHierarchy uniqueName="[Table_Raw_Data__ngắn].[Chi Phí - ngắn]" caption="Chi Phí - ngắn" attribute="1" defaultMemberUniqueName="[Table_Raw_Data__ngắn].[Chi Phí - ngắn].[All]" allUniqueName="[Table_Raw_Data__ngắn].[Chi Phí - ngắn].[All]" dimensionUniqueName="[Table_Raw_Data__ngắn]" displayFolder="" count="0" memberValueDatatype="5" unbalanced="0"/>
    <cacheHierarchy uniqueName="[Table_Raw_Data__ngắn].[KPI- ngắn]" caption="KPI- ngắn" attribute="1" defaultMemberUniqueName="[Table_Raw_Data__ngắn].[KPI- ngắn].[All]" allUniqueName="[Table_Raw_Data__ngắn].[KPI- ngắn].[All]" dimensionUniqueName="[Table_Raw_Data__ngắn]" displayFolder="" count="0" memberValueDatatype="5" unbalanced="0"/>
    <cacheHierarchy uniqueName="[Measures].[Good]" caption="Good" measure="1" displayFolder="" measureGroup="Table_Raw_Data__ngắn" count="0"/>
    <cacheHierarchy uniqueName="[Measures].[Good.]" caption="Good." measure="1" displayFolder="" measureGroup="Table_Raw_Data__ngắn" count="0"/>
    <cacheHierarchy uniqueName="[Measures].[Need to improve]" caption="Need to improve" measure="1" displayFolder="" measureGroup="Table_Raw_Data__ngắn" count="0"/>
    <cacheHierarchy uniqueName="[Measures].[__XL_Count Table_Raw_Data__ngắn]" caption="__XL_Count Table_Raw_Data__ngắn" measure="1" displayFolder="" measureGroup="Table_Raw_Data__ngắn" count="0" hidden="1"/>
    <cacheHierarchy uniqueName="[Measures].[__XL_Count Table_Raw_Data___dài]" caption="__XL_Count Table_Raw_Data___dài" measure="1" displayFolder="" measureGroup="Table_Raw_Data___dài" count="0" hidden="1"/>
    <cacheHierarchy uniqueName="[Measures].[__XL_Count Table_Raw_Data___LTL]" caption="__XL_Count Table_Raw_Data___LTL" measure="1" displayFolder="" measureGroup="Table_Raw_Data___LTL" count="0" hidden="1"/>
    <cacheHierarchy uniqueName="[Measures].[__No measures defined]" caption="__No measures defined" measure="1" displayFolder="" count="0" hidden="1"/>
    <cacheHierarchy uniqueName="[Measures].[Average of KPI- ngắn]" caption="Average of KPI- ngắn" measure="1" displayFolder="" measureGroup="Table_Raw_Data__ngắn" count="0" hidden="1">
      <extLst>
        <ext xmlns:x15="http://schemas.microsoft.com/office/spreadsheetml/2010/11/main" uri="{B97F6D7D-B522-45F9-BDA1-12C45D357490}">
          <x15:cacheHierarchy aggregatedColumn="14"/>
        </ext>
      </extLst>
    </cacheHierarchy>
    <cacheHierarchy uniqueName="[Measures].[Sum of Chi Phí - ngắn]" caption="Sum of Chi Phí - ngắn" measure="1" displayFolder="" measureGroup="Table_Raw_Data__ngắn" count="0" hidden="1">
      <extLst>
        <ext xmlns:x15="http://schemas.microsoft.com/office/spreadsheetml/2010/11/main" uri="{B97F6D7D-B522-45F9-BDA1-12C45D357490}">
          <x15:cacheHierarchy aggregatedColumn="13"/>
        </ext>
      </extLst>
    </cacheHierarchy>
    <cacheHierarchy uniqueName="[Measures].[Sum of Chi Phí- Dài]" caption="Sum of Chi Phí- Dài" measure="1" displayFolder="" measureGroup="Table_Raw_Data___dài" count="0" hidden="1">
      <extLst>
        <ext xmlns:x15="http://schemas.microsoft.com/office/spreadsheetml/2010/11/main" uri="{B97F6D7D-B522-45F9-BDA1-12C45D357490}">
          <x15:cacheHierarchy aggregatedColumn="3"/>
        </ext>
      </extLst>
    </cacheHierarchy>
    <cacheHierarchy uniqueName="[Measures].[Sum of KPI-dài]" caption="Sum of KPI-dài" measure="1" displayFolder="" measureGroup="Table_Raw_Data___dài" count="0" hidden="1">
      <extLst>
        <ext xmlns:x15="http://schemas.microsoft.com/office/spreadsheetml/2010/11/main" uri="{B97F6D7D-B522-45F9-BDA1-12C45D357490}">
          <x15:cacheHierarchy aggregatedColumn="4"/>
        </ext>
      </extLst>
    </cacheHierarchy>
    <cacheHierarchy uniqueName="[Measures].[Average of KPI-dài]" caption="Average of KPI-dài" measure="1" displayFolder="" measureGroup="Table_Raw_Data___dài" count="0" hidden="1">
      <extLst>
        <ext xmlns:x15="http://schemas.microsoft.com/office/spreadsheetml/2010/11/main" uri="{B97F6D7D-B522-45F9-BDA1-12C45D357490}">
          <x15:cacheHierarchy aggregatedColumn="4"/>
        </ext>
      </extLst>
    </cacheHierarchy>
    <cacheHierarchy uniqueName="[Measures].[Sum of Chi Phí - LTL]" caption="Sum of Chi Phí - LTL" measure="1" displayFolder="" measureGroup="Table_Raw_Data___LTL" count="0" hidden="1">
      <extLst>
        <ext xmlns:x15="http://schemas.microsoft.com/office/spreadsheetml/2010/11/main" uri="{B97F6D7D-B522-45F9-BDA1-12C45D357490}">
          <x15:cacheHierarchy aggregatedColumn="8"/>
        </ext>
      </extLst>
    </cacheHierarchy>
    <cacheHierarchy uniqueName="[Measures].[Sum of KPI- LTL]" caption="Sum of KPI- LTL" measure="1" displayFolder="" measureGroup="Table_Raw_Data___LTL" count="0" hidden="1">
      <extLst>
        <ext xmlns:x15="http://schemas.microsoft.com/office/spreadsheetml/2010/11/main" uri="{B97F6D7D-B522-45F9-BDA1-12C45D357490}">
          <x15:cacheHierarchy aggregatedColumn="9"/>
        </ext>
      </extLst>
    </cacheHierarchy>
    <cacheHierarchy uniqueName="[Measures].[Average of KPI- LTL]" caption="Average of KPI- LTL" measure="1" displayFolder="" measureGroup="Table_Raw_Data___LTL" count="0" hidden="1">
      <extLst>
        <ext xmlns:x15="http://schemas.microsoft.com/office/spreadsheetml/2010/11/main" uri="{B97F6D7D-B522-45F9-BDA1-12C45D357490}">
          <x15:cacheHierarchy aggregatedColumn="9"/>
        </ext>
      </extLst>
    </cacheHierarchy>
  </cacheHierarchies>
  <kpis count="0"/>
  <extLst>
    <ext xmlns:x14="http://schemas.microsoft.com/office/spreadsheetml/2009/9/main" uri="{725AE2AE-9491-48be-B2B4-4EB974FC3084}">
      <x14:pivotCacheDefinition slicerData="1" pivotCacheId="772242655" supportSubqueryNonVisual="1" supportSubqueryCalcMem="1" supportAddCalcMems="1"/>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57">
  <r>
    <x v="0"/>
    <x v="0"/>
    <s v="NHUT LIEN"/>
    <n v="157806245"/>
    <n v="0.95599999999999996"/>
  </r>
  <r>
    <x v="0"/>
    <x v="0"/>
    <s v="NHAT QUANG"/>
    <n v="161848046.00000021"/>
    <n v="0.97599999999999998"/>
  </r>
  <r>
    <x v="0"/>
    <x v="0"/>
    <s v="NHAT PHONG VAN"/>
    <n v="70663389.999999985"/>
    <n v="0.91800000000000004"/>
  </r>
  <r>
    <x v="0"/>
    <x v="1"/>
    <s v="CITY"/>
    <n v="135657181.81818181"/>
    <n v="0.95899999999999996"/>
  </r>
  <r>
    <x v="0"/>
    <x v="1"/>
    <s v="GHP"/>
    <n v="90524999.999999955"/>
    <n v="0.96599999999999997"/>
  </r>
  <r>
    <x v="0"/>
    <x v="2"/>
    <s v="PHUONG ANH"/>
    <n v="61396000"/>
    <n v="0.97"/>
  </r>
  <r>
    <x v="0"/>
    <x v="3"/>
    <s v="KHANG THINH"/>
    <n v="88336015"/>
    <n v="0.95399999999999996"/>
  </r>
  <r>
    <x v="0"/>
    <x v="3"/>
    <s v="THUAN THANH TIN"/>
    <n v="29127085"/>
    <n v="0.96740000000000004"/>
  </r>
  <r>
    <x v="0"/>
    <x v="4"/>
    <s v="LOGITEM"/>
    <n v="424531000"/>
    <n v="0.96860000000000002"/>
  </r>
  <r>
    <x v="0"/>
    <x v="4"/>
    <s v="NHAT TIN"/>
    <n v="24281000"/>
    <n v="0.97299999999999998"/>
  </r>
  <r>
    <x v="0"/>
    <x v="4"/>
    <s v="THUY ANH"/>
    <n v="95212000"/>
    <n v="0.96499999999999997"/>
  </r>
  <r>
    <x v="0"/>
    <x v="5"/>
    <s v="ANH MINH"/>
    <n v="571774677.81019998"/>
    <n v="0.95"/>
  </r>
  <r>
    <x v="0"/>
    <x v="5"/>
    <s v="PHUONG DUC"/>
    <n v="354165312.75296402"/>
    <n v="0.95499999999999996"/>
  </r>
  <r>
    <x v="0"/>
    <x v="5"/>
    <s v="HOI TU"/>
    <n v="471228853.38867199"/>
    <n v="0.96499999999999997"/>
  </r>
  <r>
    <x v="0"/>
    <x v="5"/>
    <s v="VINAFCO"/>
    <n v="493319608.49521601"/>
    <n v="0.95699999999999996"/>
  </r>
  <r>
    <x v="0"/>
    <x v="6"/>
    <s v="THUAN THANH TIN"/>
    <n v="270234544"/>
    <n v="0.96299999999999997"/>
  </r>
  <r>
    <x v="0"/>
    <x v="6"/>
    <s v="VINAFCO"/>
    <n v="383581896.61881"/>
    <n v="0.95"/>
  </r>
  <r>
    <x v="0"/>
    <x v="6"/>
    <s v="LOGITEM"/>
    <n v="389547228"/>
    <n v="0.95799999999999996"/>
  </r>
  <r>
    <x v="0"/>
    <x v="6"/>
    <s v="SPNL"/>
    <n v="471613900"/>
    <n v="0.96299999999999997"/>
  </r>
  <r>
    <x v="1"/>
    <x v="0"/>
    <s v="NHUT LIEN"/>
    <n v="174336975.00000021"/>
    <n v="0.93799999999999994"/>
  </r>
  <r>
    <x v="1"/>
    <x v="0"/>
    <s v="NHAT QUANG"/>
    <n v="261943474.99999985"/>
    <n v="0.97699999999999998"/>
  </r>
  <r>
    <x v="1"/>
    <x v="0"/>
    <s v="NHAT PHONG VAN"/>
    <n v="92675185"/>
    <n v="0.9"/>
  </r>
  <r>
    <x v="1"/>
    <x v="1"/>
    <s v="CITY"/>
    <n v="135657181.81818181"/>
    <n v="0.96899999999999997"/>
  </r>
  <r>
    <x v="1"/>
    <x v="1"/>
    <s v="GHP"/>
    <n v="90524999.999999955"/>
    <n v="0.96699999999999997"/>
  </r>
  <r>
    <x v="1"/>
    <x v="2"/>
    <s v="PHUONG ANH"/>
    <n v="135512999.99999994"/>
    <n v="0.96"/>
  </r>
  <r>
    <x v="1"/>
    <x v="3"/>
    <s v="KHANG THINH"/>
    <n v="111423645"/>
    <n v="0.85899999999999999"/>
  </r>
  <r>
    <x v="1"/>
    <x v="3"/>
    <s v="THUAN THANH TIN"/>
    <n v="40685500"/>
    <n v="0.95899999999999996"/>
  </r>
  <r>
    <x v="1"/>
    <x v="4"/>
    <s v="LOGITEM"/>
    <n v="376055000"/>
    <n v="0.91400000000000003"/>
  </r>
  <r>
    <x v="1"/>
    <x v="4"/>
    <s v="NHAT TIN"/>
    <n v="4255000"/>
    <n v="0.95799999999999996"/>
  </r>
  <r>
    <x v="1"/>
    <x v="4"/>
    <s v="THUY ANH"/>
    <n v="119622000"/>
    <n v="0.96099999999999997"/>
  </r>
  <r>
    <x v="1"/>
    <x v="5"/>
    <s v="ANH MINH"/>
    <n v="782294463.1207881"/>
    <n v="0.95399999999999996"/>
  </r>
  <r>
    <x v="1"/>
    <x v="5"/>
    <s v="PHUONG DUC"/>
    <n v="453218571.66343999"/>
    <n v="0.95399999999999996"/>
  </r>
  <r>
    <x v="1"/>
    <x v="5"/>
    <s v="HOI TU"/>
    <n v="664464541.09267199"/>
    <n v="0.95499999999999996"/>
  </r>
  <r>
    <x v="1"/>
    <x v="5"/>
    <s v="VINAFCO"/>
    <n v="596938875.73059201"/>
    <n v="0.95699999999999996"/>
  </r>
  <r>
    <x v="1"/>
    <x v="6"/>
    <s v="THUAN THANH TIN"/>
    <n v="326570046"/>
    <n v="0.95499999999999996"/>
  </r>
  <r>
    <x v="1"/>
    <x v="6"/>
    <s v="VINAFCO"/>
    <n v="404955449.99777001"/>
    <n v="0.95599999999999996"/>
  </r>
  <r>
    <x v="1"/>
    <x v="6"/>
    <s v="LOGITEM"/>
    <n v="445654000"/>
    <n v="0.95"/>
  </r>
  <r>
    <x v="1"/>
    <x v="6"/>
    <s v="SPNL"/>
    <n v="472221250"/>
    <n v="0.96299999999999997"/>
  </r>
  <r>
    <x v="2"/>
    <x v="0"/>
    <s v="NHUT LIEN"/>
    <n v="142189254.00000006"/>
    <n v="0.94599999999999995"/>
  </r>
  <r>
    <x v="2"/>
    <x v="0"/>
    <s v="NHAT QUANG"/>
    <n v="310034432.00000012"/>
    <n v="0.95899999999999996"/>
  </r>
  <r>
    <x v="2"/>
    <x v="0"/>
    <s v="NHAT PHONG VAN"/>
    <n v="144584999.99999994"/>
    <n v="0.94099999999999995"/>
  </r>
  <r>
    <x v="2"/>
    <x v="1"/>
    <s v="CITY"/>
    <n v="160498900.99999976"/>
    <n v="0.89900000000000002"/>
  </r>
  <r>
    <x v="2"/>
    <x v="1"/>
    <s v="GHP"/>
    <n v="74185888.88888894"/>
    <n v="0.89600000000000002"/>
  </r>
  <r>
    <x v="2"/>
    <x v="2"/>
    <s v="PHUONG ANH"/>
    <n v="75202000"/>
    <n v="0.96"/>
  </r>
  <r>
    <x v="2"/>
    <x v="3"/>
    <s v="KHANG THINH"/>
    <n v="83644185"/>
    <n v="0.96899999999999997"/>
  </r>
  <r>
    <x v="2"/>
    <x v="3"/>
    <s v="THUAN THANH TIN"/>
    <n v="31037125"/>
    <n v="0.95499999999999996"/>
  </r>
  <r>
    <x v="2"/>
    <x v="4"/>
    <s v="LOGITEM"/>
    <n v="255266000"/>
    <n v="0.95399999999999996"/>
  </r>
  <r>
    <x v="2"/>
    <x v="4"/>
    <s v="NHAT TIN"/>
    <n v="4296600"/>
    <n v="0.95799999999999996"/>
  </r>
  <r>
    <x v="2"/>
    <x v="4"/>
    <s v="THUY ANH"/>
    <n v="64259800"/>
    <n v="0.97199999999999998"/>
  </r>
  <r>
    <x v="2"/>
    <x v="5"/>
    <s v="ANH MINH"/>
    <n v="423945587.564888"/>
    <n v="0.95099999999999996"/>
  </r>
  <r>
    <x v="2"/>
    <x v="5"/>
    <s v="PHUONG DUC"/>
    <n v="236377447.31353599"/>
    <n v="0.95599999999999996"/>
  </r>
  <r>
    <x v="2"/>
    <x v="5"/>
    <s v="HOI TU"/>
    <n v="408602173.16988802"/>
    <n v="0.95899999999999996"/>
  </r>
  <r>
    <x v="2"/>
    <x v="5"/>
    <s v="VINAFCO"/>
    <n v="259682842.83199999"/>
    <n v="0.95799999999999996"/>
  </r>
  <r>
    <x v="2"/>
    <x v="6"/>
    <s v="THUAN THANH TIN"/>
    <n v="219388000"/>
    <n v="0.96299999999999997"/>
  </r>
  <r>
    <x v="2"/>
    <x v="6"/>
    <s v="VINAFCO"/>
    <n v="258659662.81213"/>
    <n v="0.95699999999999996"/>
  </r>
  <r>
    <x v="2"/>
    <x v="6"/>
    <s v="LOGITEM"/>
    <n v="325400200"/>
    <n v="0.96199999999999997"/>
  </r>
  <r>
    <x v="2"/>
    <x v="6"/>
    <s v="SPNL"/>
    <n v="491834246"/>
    <n v="0.95799999999999996"/>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0.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1.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9.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3.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F1CE5D72-8102-4839-AAF1-570EBCB16C5A}" name="KPI" cacheId="4"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7">
  <location ref="A37:E54" firstHeaderRow="0" firstDataRow="1" firstDataCol="1"/>
  <pivotFields count="6">
    <pivotField dataField="1" subtotalTop="0" showAll="0" defaultSubtotal="0"/>
    <pivotField axis="axisRow" allDrilled="1" showAll="0" dataSourceSort="1" defaultAttributeDrillState="1">
      <items count="17">
        <item x="0"/>
        <item x="1"/>
        <item x="2"/>
        <item x="3"/>
        <item x="4"/>
        <item x="5"/>
        <item x="6"/>
        <item x="7"/>
        <item x="8"/>
        <item x="9"/>
        <item x="10"/>
        <item x="11"/>
        <item x="12"/>
        <item x="13"/>
        <item x="14"/>
        <item x="15"/>
        <item t="default"/>
      </items>
    </pivotField>
    <pivotField dataField="1" subtotalTop="0" showAll="0" defaultSubtotal="0"/>
    <pivotField dataField="1" subtotalTop="0" showAll="0" defaultSubtotal="0"/>
    <pivotField dataField="1" subtotalTop="0" showAll="0" defaultSubtotal="0"/>
    <pivotField allDrilled="1" subtotalTop="0" showAll="0" dataSourceSort="1" defaultSubtotal="0" defaultAttributeDrillState="1"/>
  </pivotFields>
  <rowFields count="1">
    <field x="1"/>
  </rowFields>
  <rowItems count="17">
    <i>
      <x/>
    </i>
    <i>
      <x v="1"/>
    </i>
    <i>
      <x v="2"/>
    </i>
    <i>
      <x v="3"/>
    </i>
    <i>
      <x v="4"/>
    </i>
    <i>
      <x v="5"/>
    </i>
    <i>
      <x v="6"/>
    </i>
    <i>
      <x v="7"/>
    </i>
    <i>
      <x v="8"/>
    </i>
    <i>
      <x v="9"/>
    </i>
    <i>
      <x v="10"/>
    </i>
    <i>
      <x v="11"/>
    </i>
    <i>
      <x v="12"/>
    </i>
    <i>
      <x v="13"/>
    </i>
    <i>
      <x v="14"/>
    </i>
    <i>
      <x v="15"/>
    </i>
    <i t="grand">
      <x/>
    </i>
  </rowItems>
  <colFields count="1">
    <field x="-2"/>
  </colFields>
  <colItems count="4">
    <i>
      <x/>
    </i>
    <i i="1">
      <x v="1"/>
    </i>
    <i i="2">
      <x v="2"/>
    </i>
    <i i="3">
      <x v="3"/>
    </i>
  </colItems>
  <dataFields count="4">
    <dataField name="Average of KPI- ngắn" fld="0" subtotal="average" baseField="0" baseItem="0"/>
    <dataField name="Excellent" fld="2" subtotal="count" baseField="1" baseItem="0"/>
    <dataField fld="3" subtotal="count" baseField="0" baseItem="0"/>
    <dataField fld="4" subtotal="count" baseField="0" baseItem="0"/>
  </dataFields>
  <formats count="7">
    <format dxfId="257">
      <pivotArea outline="0" collapsedLevelsAreSubtotals="1" fieldPosition="0"/>
    </format>
    <format dxfId="256">
      <pivotArea type="all" dataOnly="0" outline="0" fieldPosition="0"/>
    </format>
    <format dxfId="255">
      <pivotArea outline="0" collapsedLevelsAreSubtotals="1" fieldPosition="0"/>
    </format>
    <format dxfId="254">
      <pivotArea field="1" type="button" dataOnly="0" labelOnly="1" outline="0" axis="axisRow" fieldPosition="0"/>
    </format>
    <format dxfId="253">
      <pivotArea dataOnly="0" labelOnly="1" fieldPosition="0">
        <references count="1">
          <reference field="1" count="0"/>
        </references>
      </pivotArea>
    </format>
    <format dxfId="252">
      <pivotArea dataOnly="0" labelOnly="1" grandRow="1" outline="0" fieldPosition="0"/>
    </format>
    <format dxfId="251">
      <pivotArea dataOnly="0" labelOnly="1" outline="0" fieldPosition="0">
        <references count="1">
          <reference field="4294967294" count="4">
            <x v="0"/>
            <x v="1"/>
            <x v="2"/>
            <x v="3"/>
          </reference>
        </references>
      </pivotArea>
    </format>
  </formats>
  <chartFormats count="16">
    <chartFormat chart="6" format="8" series="1">
      <pivotArea type="data" outline="0" fieldPosition="0">
        <references count="1">
          <reference field="4294967294" count="1" selected="0">
            <x v="0"/>
          </reference>
        </references>
      </pivotArea>
    </chartFormat>
    <chartFormat chart="6" format="9" series="1">
      <pivotArea type="data" outline="0" fieldPosition="0">
        <references count="1">
          <reference field="4294967294" count="1" selected="0">
            <x v="1"/>
          </reference>
        </references>
      </pivotArea>
    </chartFormat>
    <chartFormat chart="6" format="10" series="1">
      <pivotArea type="data" outline="0" fieldPosition="0">
        <references count="1">
          <reference field="4294967294" count="1" selected="0">
            <x v="2"/>
          </reference>
        </references>
      </pivotArea>
    </chartFormat>
    <chartFormat chart="6" format="11" series="1">
      <pivotArea type="data" outline="0" fieldPosition="0">
        <references count="1">
          <reference field="4294967294" count="1" selected="0">
            <x v="3"/>
          </reference>
        </references>
      </pivotArea>
    </chartFormat>
    <chartFormat chart="6" format="12">
      <pivotArea type="data" outline="0" fieldPosition="0">
        <references count="2">
          <reference field="4294967294" count="1" selected="0">
            <x v="0"/>
          </reference>
          <reference field="1" count="1" selected="0">
            <x v="5"/>
          </reference>
        </references>
      </pivotArea>
    </chartFormat>
    <chartFormat chart="6" format="13">
      <pivotArea type="data" outline="0" fieldPosition="0">
        <references count="2">
          <reference field="4294967294" count="1" selected="0">
            <x v="0"/>
          </reference>
          <reference field="1" count="1" selected="0">
            <x v="12"/>
          </reference>
        </references>
      </pivotArea>
    </chartFormat>
    <chartFormat chart="6" format="14">
      <pivotArea type="data" outline="0" fieldPosition="0">
        <references count="2">
          <reference field="4294967294" count="1" selected="0">
            <x v="0"/>
          </reference>
          <reference field="1" count="1" selected="0">
            <x v="13"/>
          </reference>
        </references>
      </pivotArea>
    </chartFormat>
    <chartFormat chart="6" format="15">
      <pivotArea type="data" outline="0" fieldPosition="0">
        <references count="2">
          <reference field="4294967294" count="1" selected="0">
            <x v="0"/>
          </reference>
          <reference field="1" count="1" selected="0">
            <x v="15"/>
          </reference>
        </references>
      </pivotArea>
    </chartFormat>
    <chartFormat chart="6" format="16">
      <pivotArea type="data" outline="0" fieldPosition="0">
        <references count="2">
          <reference field="4294967294" count="1" selected="0">
            <x v="0"/>
          </reference>
          <reference field="1" count="1" selected="0">
            <x v="0"/>
          </reference>
        </references>
      </pivotArea>
    </chartFormat>
    <chartFormat chart="6" format="17">
      <pivotArea type="data" outline="0" fieldPosition="0">
        <references count="2">
          <reference field="4294967294" count="1" selected="0">
            <x v="0"/>
          </reference>
          <reference field="1" count="1" selected="0">
            <x v="2"/>
          </reference>
        </references>
      </pivotArea>
    </chartFormat>
    <chartFormat chart="6" format="18">
      <pivotArea type="data" outline="0" fieldPosition="0">
        <references count="2">
          <reference field="4294967294" count="1" selected="0">
            <x v="0"/>
          </reference>
          <reference field="1" count="1" selected="0">
            <x v="3"/>
          </reference>
        </references>
      </pivotArea>
    </chartFormat>
    <chartFormat chart="6" format="19">
      <pivotArea type="data" outline="0" fieldPosition="0">
        <references count="2">
          <reference field="4294967294" count="1" selected="0">
            <x v="0"/>
          </reference>
          <reference field="1" count="1" selected="0">
            <x v="7"/>
          </reference>
        </references>
      </pivotArea>
    </chartFormat>
    <chartFormat chart="6" format="20">
      <pivotArea type="data" outline="0" fieldPosition="0">
        <references count="2">
          <reference field="4294967294" count="1" selected="0">
            <x v="0"/>
          </reference>
          <reference field="1" count="1" selected="0">
            <x v="9"/>
          </reference>
        </references>
      </pivotArea>
    </chartFormat>
    <chartFormat chart="6" format="21">
      <pivotArea type="data" outline="0" fieldPosition="0">
        <references count="2">
          <reference field="4294967294" count="1" selected="0">
            <x v="0"/>
          </reference>
          <reference field="1" count="1" selected="0">
            <x v="10"/>
          </reference>
        </references>
      </pivotArea>
    </chartFormat>
    <chartFormat chart="6" format="22">
      <pivotArea type="data" outline="0" fieldPosition="0">
        <references count="2">
          <reference field="4294967294" count="1" selected="0">
            <x v="0"/>
          </reference>
          <reference field="1" count="1" selected="0">
            <x v="11"/>
          </reference>
        </references>
      </pivotArea>
    </chartFormat>
    <chartFormat chart="6" format="23">
      <pivotArea type="data" outline="0" fieldPosition="0">
        <references count="2">
          <reference field="4294967294" count="1" selected="0">
            <x v="0"/>
          </reference>
          <reference field="1" count="1" selected="0">
            <x v="14"/>
          </reference>
        </references>
      </pivotArea>
    </chartFormat>
  </chartFormats>
  <pivotHierarchies count="30">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Row="0" dragToCol="0" dragToPage="0" dragToData="1" caption="Excellent"/>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12"/>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test.xlsx!Table_Raw_Data__ngắn">
        <x15:activeTabTopLevelEntity name="[Table_Raw_Data__ngắn]"/>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34C0BE66-99B7-4958-867F-4BB7B21DC3E9}" name="chi phí" cacheId="3"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2">
  <location ref="A1:I6" firstHeaderRow="1" firstDataRow="2" firstDataCol="1"/>
  <pivotFields count="5">
    <pivotField axis="axisRow" showAll="0">
      <items count="4">
        <item x="0"/>
        <item x="1"/>
        <item x="2"/>
        <item t="default"/>
      </items>
    </pivotField>
    <pivotField axis="axisCol" showAll="0">
      <items count="8">
        <item x="4"/>
        <item x="0"/>
        <item x="6"/>
        <item x="5"/>
        <item x="1"/>
        <item x="3"/>
        <item x="2"/>
        <item t="default"/>
      </items>
    </pivotField>
    <pivotField showAll="0"/>
    <pivotField dataField="1" showAll="0"/>
    <pivotField showAll="0"/>
  </pivotFields>
  <rowFields count="1">
    <field x="0"/>
  </rowFields>
  <rowItems count="4">
    <i>
      <x/>
    </i>
    <i>
      <x v="1"/>
    </i>
    <i>
      <x v="2"/>
    </i>
    <i t="grand">
      <x/>
    </i>
  </rowItems>
  <colFields count="1">
    <field x="1"/>
  </colFields>
  <colItems count="8">
    <i>
      <x/>
    </i>
    <i>
      <x v="1"/>
    </i>
    <i>
      <x v="2"/>
    </i>
    <i>
      <x v="3"/>
    </i>
    <i>
      <x v="4"/>
    </i>
    <i>
      <x v="5"/>
    </i>
    <i>
      <x v="6"/>
    </i>
    <i t="grand">
      <x/>
    </i>
  </colItems>
  <dataFields count="1">
    <dataField name="Sum of Chi Phí - ngắn" fld="3" baseField="0" baseItem="0" numFmtId="164"/>
  </dataFields>
  <formats count="20">
    <format dxfId="277">
      <pivotArea type="all" dataOnly="0" outline="0" fieldPosition="0"/>
    </format>
    <format dxfId="276">
      <pivotArea outline="0" collapsedLevelsAreSubtotals="1" fieldPosition="0"/>
    </format>
    <format dxfId="275">
      <pivotArea type="origin" dataOnly="0" labelOnly="1" outline="0" fieldPosition="0"/>
    </format>
    <format dxfId="274">
      <pivotArea field="0" type="button" dataOnly="0" labelOnly="1" outline="0" axis="axisRow" fieldPosition="0"/>
    </format>
    <format dxfId="273">
      <pivotArea type="topRight" dataOnly="0" labelOnly="1" outline="0" fieldPosition="0"/>
    </format>
    <format dxfId="272">
      <pivotArea field="1" type="button" dataOnly="0" labelOnly="1" outline="0" axis="axisCol" fieldPosition="0"/>
    </format>
    <format dxfId="271">
      <pivotArea dataOnly="0" labelOnly="1" fieldPosition="0">
        <references count="1">
          <reference field="1" count="0"/>
        </references>
      </pivotArea>
    </format>
    <format dxfId="270">
      <pivotArea dataOnly="0" labelOnly="1" grandRow="1" outline="0" fieldPosition="0"/>
    </format>
    <format dxfId="269">
      <pivotArea dataOnly="0" labelOnly="1" fieldPosition="0">
        <references count="1">
          <reference field="0" count="0"/>
        </references>
      </pivotArea>
    </format>
    <format dxfId="268">
      <pivotArea dataOnly="0" labelOnly="1" grandCol="1" outline="0" fieldPosition="0"/>
    </format>
    <format dxfId="267">
      <pivotArea type="all" dataOnly="0" outline="0" fieldPosition="0"/>
    </format>
    <format dxfId="266">
      <pivotArea outline="0" collapsedLevelsAreSubtotals="1" fieldPosition="0"/>
    </format>
    <format dxfId="265">
      <pivotArea type="origin" dataOnly="0" labelOnly="1" outline="0" fieldPosition="0"/>
    </format>
    <format dxfId="264">
      <pivotArea field="1" type="button" dataOnly="0" labelOnly="1" outline="0" axis="axisCol" fieldPosition="0"/>
    </format>
    <format dxfId="263">
      <pivotArea type="topRight" dataOnly="0" labelOnly="1" outline="0" fieldPosition="0"/>
    </format>
    <format dxfId="262">
      <pivotArea field="0" type="button" dataOnly="0" labelOnly="1" outline="0" axis="axisRow" fieldPosition="0"/>
    </format>
    <format dxfId="261">
      <pivotArea dataOnly="0" labelOnly="1" fieldPosition="0">
        <references count="1">
          <reference field="0" count="0"/>
        </references>
      </pivotArea>
    </format>
    <format dxfId="260">
      <pivotArea dataOnly="0" labelOnly="1" grandRow="1" outline="0" fieldPosition="0"/>
    </format>
    <format dxfId="259">
      <pivotArea dataOnly="0" labelOnly="1" fieldPosition="0">
        <references count="1">
          <reference field="1" count="0"/>
        </references>
      </pivotArea>
    </format>
    <format dxfId="258">
      <pivotArea dataOnly="0" labelOnly="1" grandCol="1" outline="0" fieldPosition="0"/>
    </format>
  </formats>
  <chartFormats count="32">
    <chartFormat chart="4" format="40" series="1">
      <pivotArea type="data" outline="0" fieldPosition="0">
        <references count="2">
          <reference field="4294967294" count="1" selected="0">
            <x v="0"/>
          </reference>
          <reference field="1" count="1" selected="0">
            <x v="0"/>
          </reference>
        </references>
      </pivotArea>
    </chartFormat>
    <chartFormat chart="4" format="41">
      <pivotArea type="data" outline="0" fieldPosition="0">
        <references count="3">
          <reference field="4294967294" count="1" selected="0">
            <x v="0"/>
          </reference>
          <reference field="0" count="1" selected="0">
            <x v="0"/>
          </reference>
          <reference field="1" count="1" selected="0">
            <x v="0"/>
          </reference>
        </references>
      </pivotArea>
    </chartFormat>
    <chartFormat chart="4" format="42" series="1">
      <pivotArea type="data" outline="0" fieldPosition="0">
        <references count="2">
          <reference field="4294967294" count="1" selected="0">
            <x v="0"/>
          </reference>
          <reference field="1" count="1" selected="0">
            <x v="1"/>
          </reference>
        </references>
      </pivotArea>
    </chartFormat>
    <chartFormat chart="4" format="43">
      <pivotArea type="data" outline="0" fieldPosition="0">
        <references count="3">
          <reference field="4294967294" count="1" selected="0">
            <x v="0"/>
          </reference>
          <reference field="0" count="1" selected="0">
            <x v="0"/>
          </reference>
          <reference field="1" count="1" selected="0">
            <x v="1"/>
          </reference>
        </references>
      </pivotArea>
    </chartFormat>
    <chartFormat chart="4" format="44" series="1">
      <pivotArea type="data" outline="0" fieldPosition="0">
        <references count="2">
          <reference field="4294967294" count="1" selected="0">
            <x v="0"/>
          </reference>
          <reference field="1" count="1" selected="0">
            <x v="2"/>
          </reference>
        </references>
      </pivotArea>
    </chartFormat>
    <chartFormat chart="4" format="45">
      <pivotArea type="data" outline="0" fieldPosition="0">
        <references count="3">
          <reference field="4294967294" count="1" selected="0">
            <x v="0"/>
          </reference>
          <reference field="0" count="1" selected="0">
            <x v="0"/>
          </reference>
          <reference field="1" count="1" selected="0">
            <x v="2"/>
          </reference>
        </references>
      </pivotArea>
    </chartFormat>
    <chartFormat chart="4" format="46" series="1">
      <pivotArea type="data" outline="0" fieldPosition="0">
        <references count="2">
          <reference field="4294967294" count="1" selected="0">
            <x v="0"/>
          </reference>
          <reference field="1" count="1" selected="0">
            <x v="3"/>
          </reference>
        </references>
      </pivotArea>
    </chartFormat>
    <chartFormat chart="4" format="47" series="1">
      <pivotArea type="data" outline="0" fieldPosition="0">
        <references count="2">
          <reference field="4294967294" count="1" selected="0">
            <x v="0"/>
          </reference>
          <reference field="1" count="1" selected="0">
            <x v="4"/>
          </reference>
        </references>
      </pivotArea>
    </chartFormat>
    <chartFormat chart="4" format="48">
      <pivotArea type="data" outline="0" fieldPosition="0">
        <references count="3">
          <reference field="4294967294" count="1" selected="0">
            <x v="0"/>
          </reference>
          <reference field="0" count="1" selected="0">
            <x v="0"/>
          </reference>
          <reference field="1" count="1" selected="0">
            <x v="4"/>
          </reference>
        </references>
      </pivotArea>
    </chartFormat>
    <chartFormat chart="4" format="49" series="1">
      <pivotArea type="data" outline="0" fieldPosition="0">
        <references count="2">
          <reference field="4294967294" count="1" selected="0">
            <x v="0"/>
          </reference>
          <reference field="1" count="1" selected="0">
            <x v="5"/>
          </reference>
        </references>
      </pivotArea>
    </chartFormat>
    <chartFormat chart="4" format="50">
      <pivotArea type="data" outline="0" fieldPosition="0">
        <references count="3">
          <reference field="4294967294" count="1" selected="0">
            <x v="0"/>
          </reference>
          <reference field="0" count="1" selected="0">
            <x v="0"/>
          </reference>
          <reference field="1" count="1" selected="0">
            <x v="5"/>
          </reference>
        </references>
      </pivotArea>
    </chartFormat>
    <chartFormat chart="4" format="51" series="1">
      <pivotArea type="data" outline="0" fieldPosition="0">
        <references count="2">
          <reference field="4294967294" count="1" selected="0">
            <x v="0"/>
          </reference>
          <reference field="1" count="1" selected="0">
            <x v="6"/>
          </reference>
        </references>
      </pivotArea>
    </chartFormat>
    <chartFormat chart="4" format="52">
      <pivotArea type="data" outline="0" fieldPosition="0">
        <references count="3">
          <reference field="4294967294" count="1" selected="0">
            <x v="0"/>
          </reference>
          <reference field="0" count="1" selected="0">
            <x v="0"/>
          </reference>
          <reference field="1" count="1" selected="0">
            <x v="6"/>
          </reference>
        </references>
      </pivotArea>
    </chartFormat>
    <chartFormat chart="4" format="53">
      <pivotArea type="data" outline="0" fieldPosition="0">
        <references count="3">
          <reference field="4294967294" count="1" selected="0">
            <x v="0"/>
          </reference>
          <reference field="0" count="1" selected="0">
            <x v="0"/>
          </reference>
          <reference field="1" count="1" selected="0">
            <x v="3"/>
          </reference>
        </references>
      </pivotArea>
    </chartFormat>
    <chartFormat chart="4" format="54">
      <pivotArea type="data" outline="0" fieldPosition="0">
        <references count="3">
          <reference field="4294967294" count="1" selected="0">
            <x v="0"/>
          </reference>
          <reference field="0" count="1" selected="0">
            <x v="1"/>
          </reference>
          <reference field="1" count="1" selected="0">
            <x v="0"/>
          </reference>
        </references>
      </pivotArea>
    </chartFormat>
    <chartFormat chart="4" format="55">
      <pivotArea type="data" outline="0" fieldPosition="0">
        <references count="3">
          <reference field="4294967294" count="1" selected="0">
            <x v="0"/>
          </reference>
          <reference field="0" count="1" selected="0">
            <x v="2"/>
          </reference>
          <reference field="1" count="1" selected="0">
            <x v="0"/>
          </reference>
        </references>
      </pivotArea>
    </chartFormat>
    <chartFormat chart="10" format="56" series="1">
      <pivotArea type="data" outline="0" fieldPosition="0">
        <references count="2">
          <reference field="4294967294" count="1" selected="0">
            <x v="0"/>
          </reference>
          <reference field="1" count="1" selected="0">
            <x v="0"/>
          </reference>
        </references>
      </pivotArea>
    </chartFormat>
    <chartFormat chart="10" format="57">
      <pivotArea type="data" outline="0" fieldPosition="0">
        <references count="3">
          <reference field="4294967294" count="1" selected="0">
            <x v="0"/>
          </reference>
          <reference field="0" count="1" selected="0">
            <x v="0"/>
          </reference>
          <reference field="1" count="1" selected="0">
            <x v="0"/>
          </reference>
        </references>
      </pivotArea>
    </chartFormat>
    <chartFormat chart="10" format="58" series="1">
      <pivotArea type="data" outline="0" fieldPosition="0">
        <references count="2">
          <reference field="4294967294" count="1" selected="0">
            <x v="0"/>
          </reference>
          <reference field="1" count="1" selected="0">
            <x v="1"/>
          </reference>
        </references>
      </pivotArea>
    </chartFormat>
    <chartFormat chart="10" format="59">
      <pivotArea type="data" outline="0" fieldPosition="0">
        <references count="3">
          <reference field="4294967294" count="1" selected="0">
            <x v="0"/>
          </reference>
          <reference field="0" count="1" selected="0">
            <x v="0"/>
          </reference>
          <reference field="1" count="1" selected="0">
            <x v="1"/>
          </reference>
        </references>
      </pivotArea>
    </chartFormat>
    <chartFormat chart="10" format="60" series="1">
      <pivotArea type="data" outline="0" fieldPosition="0">
        <references count="2">
          <reference field="4294967294" count="1" selected="0">
            <x v="0"/>
          </reference>
          <reference field="1" count="1" selected="0">
            <x v="2"/>
          </reference>
        </references>
      </pivotArea>
    </chartFormat>
    <chartFormat chart="10" format="61">
      <pivotArea type="data" outline="0" fieldPosition="0">
        <references count="3">
          <reference field="4294967294" count="1" selected="0">
            <x v="0"/>
          </reference>
          <reference field="0" count="1" selected="0">
            <x v="0"/>
          </reference>
          <reference field="1" count="1" selected="0">
            <x v="2"/>
          </reference>
        </references>
      </pivotArea>
    </chartFormat>
    <chartFormat chart="10" format="62" series="1">
      <pivotArea type="data" outline="0" fieldPosition="0">
        <references count="2">
          <reference field="4294967294" count="1" selected="0">
            <x v="0"/>
          </reference>
          <reference field="1" count="1" selected="0">
            <x v="3"/>
          </reference>
        </references>
      </pivotArea>
    </chartFormat>
    <chartFormat chart="10" format="63">
      <pivotArea type="data" outline="0" fieldPosition="0">
        <references count="3">
          <reference field="4294967294" count="1" selected="0">
            <x v="0"/>
          </reference>
          <reference field="0" count="1" selected="0">
            <x v="0"/>
          </reference>
          <reference field="1" count="1" selected="0">
            <x v="3"/>
          </reference>
        </references>
      </pivotArea>
    </chartFormat>
    <chartFormat chart="10" format="64" series="1">
      <pivotArea type="data" outline="0" fieldPosition="0">
        <references count="2">
          <reference field="4294967294" count="1" selected="0">
            <x v="0"/>
          </reference>
          <reference field="1" count="1" selected="0">
            <x v="4"/>
          </reference>
        </references>
      </pivotArea>
    </chartFormat>
    <chartFormat chart="10" format="65">
      <pivotArea type="data" outline="0" fieldPosition="0">
        <references count="3">
          <reference field="4294967294" count="1" selected="0">
            <x v="0"/>
          </reference>
          <reference field="0" count="1" selected="0">
            <x v="0"/>
          </reference>
          <reference field="1" count="1" selected="0">
            <x v="4"/>
          </reference>
        </references>
      </pivotArea>
    </chartFormat>
    <chartFormat chart="10" format="66" series="1">
      <pivotArea type="data" outline="0" fieldPosition="0">
        <references count="2">
          <reference field="4294967294" count="1" selected="0">
            <x v="0"/>
          </reference>
          <reference field="1" count="1" selected="0">
            <x v="5"/>
          </reference>
        </references>
      </pivotArea>
    </chartFormat>
    <chartFormat chart="10" format="67">
      <pivotArea type="data" outline="0" fieldPosition="0">
        <references count="3">
          <reference field="4294967294" count="1" selected="0">
            <x v="0"/>
          </reference>
          <reference field="0" count="1" selected="0">
            <x v="0"/>
          </reference>
          <reference field="1" count="1" selected="0">
            <x v="5"/>
          </reference>
        </references>
      </pivotArea>
    </chartFormat>
    <chartFormat chart="10" format="68" series="1">
      <pivotArea type="data" outline="0" fieldPosition="0">
        <references count="2">
          <reference field="4294967294" count="1" selected="0">
            <x v="0"/>
          </reference>
          <reference field="1" count="1" selected="0">
            <x v="6"/>
          </reference>
        </references>
      </pivotArea>
    </chartFormat>
    <chartFormat chart="10" format="69">
      <pivotArea type="data" outline="0" fieldPosition="0">
        <references count="3">
          <reference field="4294967294" count="1" selected="0">
            <x v="0"/>
          </reference>
          <reference field="0" count="1" selected="0">
            <x v="0"/>
          </reference>
          <reference field="1" count="1" selected="0">
            <x v="6"/>
          </reference>
        </references>
      </pivotArea>
    </chartFormat>
    <chartFormat chart="10" format="70">
      <pivotArea type="data" outline="0" fieldPosition="0">
        <references count="3">
          <reference field="4294967294" count="1" selected="0">
            <x v="0"/>
          </reference>
          <reference field="0" count="1" selected="0">
            <x v="1"/>
          </reference>
          <reference field="1" count="1" selected="0">
            <x v="0"/>
          </reference>
        </references>
      </pivotArea>
    </chartFormat>
    <chartFormat chart="10" format="71">
      <pivotArea type="data" outline="0" fieldPosition="0">
        <references count="3">
          <reference field="4294967294" count="1" selected="0">
            <x v="0"/>
          </reference>
          <reference field="0" count="1" selected="0">
            <x v="2"/>
          </reference>
          <reference field="1"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F6D5D5B0-3E75-4EEC-9BCD-4B604E8CB4AB}" name="static" cacheId="3"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5">
  <location ref="A20:I25" firstHeaderRow="1" firstDataRow="2" firstDataCol="1"/>
  <pivotFields count="5">
    <pivotField axis="axisRow" showAll="0">
      <items count="4">
        <item x="0"/>
        <item x="1"/>
        <item x="2"/>
        <item t="default"/>
      </items>
    </pivotField>
    <pivotField axis="axisCol" showAll="0">
      <items count="8">
        <item x="4"/>
        <item x="0"/>
        <item x="6"/>
        <item x="5"/>
        <item x="1"/>
        <item x="3"/>
        <item x="2"/>
        <item t="default"/>
      </items>
    </pivotField>
    <pivotField showAll="0"/>
    <pivotField dataField="1" showAll="0"/>
    <pivotField showAll="0"/>
  </pivotFields>
  <rowFields count="1">
    <field x="0"/>
  </rowFields>
  <rowItems count="4">
    <i>
      <x/>
    </i>
    <i>
      <x v="1"/>
    </i>
    <i>
      <x v="2"/>
    </i>
    <i t="grand">
      <x/>
    </i>
  </rowItems>
  <colFields count="1">
    <field x="1"/>
  </colFields>
  <colItems count="8">
    <i>
      <x/>
    </i>
    <i>
      <x v="1"/>
    </i>
    <i>
      <x v="2"/>
    </i>
    <i>
      <x v="3"/>
    </i>
    <i>
      <x v="4"/>
    </i>
    <i>
      <x v="5"/>
    </i>
    <i>
      <x v="6"/>
    </i>
    <i t="grand">
      <x/>
    </i>
  </colItems>
  <dataFields count="1">
    <dataField name="Sum of Chi Phí - ngắn" fld="3" baseField="0" baseItem="0" numFmtId="164"/>
  </dataFields>
  <formats count="20">
    <format dxfId="297">
      <pivotArea type="all" dataOnly="0" outline="0" fieldPosition="0"/>
    </format>
    <format dxfId="296">
      <pivotArea outline="0" collapsedLevelsAreSubtotals="1" fieldPosition="0"/>
    </format>
    <format dxfId="295">
      <pivotArea type="origin" dataOnly="0" labelOnly="1" outline="0" fieldPosition="0"/>
    </format>
    <format dxfId="294">
      <pivotArea field="0" type="button" dataOnly="0" labelOnly="1" outline="0" axis="axisRow" fieldPosition="0"/>
    </format>
    <format dxfId="293">
      <pivotArea type="topRight" dataOnly="0" labelOnly="1" outline="0" fieldPosition="0"/>
    </format>
    <format dxfId="292">
      <pivotArea field="1" type="button" dataOnly="0" labelOnly="1" outline="0" axis="axisCol" fieldPosition="0"/>
    </format>
    <format dxfId="291">
      <pivotArea dataOnly="0" labelOnly="1" fieldPosition="0">
        <references count="1">
          <reference field="1" count="0"/>
        </references>
      </pivotArea>
    </format>
    <format dxfId="290">
      <pivotArea dataOnly="0" labelOnly="1" grandRow="1" outline="0" fieldPosition="0"/>
    </format>
    <format dxfId="289">
      <pivotArea dataOnly="0" labelOnly="1" fieldPosition="0">
        <references count="1">
          <reference field="0" count="0"/>
        </references>
      </pivotArea>
    </format>
    <format dxfId="288">
      <pivotArea dataOnly="0" labelOnly="1" grandCol="1" outline="0" fieldPosition="0"/>
    </format>
    <format dxfId="287">
      <pivotArea type="all" dataOnly="0" outline="0" fieldPosition="0"/>
    </format>
    <format dxfId="286">
      <pivotArea outline="0" collapsedLevelsAreSubtotals="1" fieldPosition="0"/>
    </format>
    <format dxfId="285">
      <pivotArea type="origin" dataOnly="0" labelOnly="1" outline="0" fieldPosition="0"/>
    </format>
    <format dxfId="284">
      <pivotArea field="1" type="button" dataOnly="0" labelOnly="1" outline="0" axis="axisCol" fieldPosition="0"/>
    </format>
    <format dxfId="283">
      <pivotArea type="topRight" dataOnly="0" labelOnly="1" outline="0" fieldPosition="0"/>
    </format>
    <format dxfId="282">
      <pivotArea field="0" type="button" dataOnly="0" labelOnly="1" outline="0" axis="axisRow" fieldPosition="0"/>
    </format>
    <format dxfId="281">
      <pivotArea dataOnly="0" labelOnly="1" fieldPosition="0">
        <references count="1">
          <reference field="0" count="0"/>
        </references>
      </pivotArea>
    </format>
    <format dxfId="280">
      <pivotArea dataOnly="0" labelOnly="1" grandRow="1" outline="0" fieldPosition="0"/>
    </format>
    <format dxfId="279">
      <pivotArea dataOnly="0" labelOnly="1" fieldPosition="0">
        <references count="1">
          <reference field="1" count="0"/>
        </references>
      </pivotArea>
    </format>
    <format dxfId="278">
      <pivotArea dataOnly="0" labelOnly="1" grandCol="1" outline="0" fieldPosition="0"/>
    </format>
  </formats>
  <chartFormats count="16">
    <chartFormat chart="4" format="40" series="1">
      <pivotArea type="data" outline="0" fieldPosition="0">
        <references count="2">
          <reference field="4294967294" count="1" selected="0">
            <x v="0"/>
          </reference>
          <reference field="1" count="1" selected="0">
            <x v="0"/>
          </reference>
        </references>
      </pivotArea>
    </chartFormat>
    <chartFormat chart="4" format="41">
      <pivotArea type="data" outline="0" fieldPosition="0">
        <references count="3">
          <reference field="4294967294" count="1" selected="0">
            <x v="0"/>
          </reference>
          <reference field="0" count="1" selected="0">
            <x v="0"/>
          </reference>
          <reference field="1" count="1" selected="0">
            <x v="0"/>
          </reference>
        </references>
      </pivotArea>
    </chartFormat>
    <chartFormat chart="4" format="42" series="1">
      <pivotArea type="data" outline="0" fieldPosition="0">
        <references count="2">
          <reference field="4294967294" count="1" selected="0">
            <x v="0"/>
          </reference>
          <reference field="1" count="1" selected="0">
            <x v="1"/>
          </reference>
        </references>
      </pivotArea>
    </chartFormat>
    <chartFormat chart="4" format="43">
      <pivotArea type="data" outline="0" fieldPosition="0">
        <references count="3">
          <reference field="4294967294" count="1" selected="0">
            <x v="0"/>
          </reference>
          <reference field="0" count="1" selected="0">
            <x v="0"/>
          </reference>
          <reference field="1" count="1" selected="0">
            <x v="1"/>
          </reference>
        </references>
      </pivotArea>
    </chartFormat>
    <chartFormat chart="4" format="44" series="1">
      <pivotArea type="data" outline="0" fieldPosition="0">
        <references count="2">
          <reference field="4294967294" count="1" selected="0">
            <x v="0"/>
          </reference>
          <reference field="1" count="1" selected="0">
            <x v="2"/>
          </reference>
        </references>
      </pivotArea>
    </chartFormat>
    <chartFormat chart="4" format="45">
      <pivotArea type="data" outline="0" fieldPosition="0">
        <references count="3">
          <reference field="4294967294" count="1" selected="0">
            <x v="0"/>
          </reference>
          <reference field="0" count="1" selected="0">
            <x v="0"/>
          </reference>
          <reference field="1" count="1" selected="0">
            <x v="2"/>
          </reference>
        </references>
      </pivotArea>
    </chartFormat>
    <chartFormat chart="4" format="46" series="1">
      <pivotArea type="data" outline="0" fieldPosition="0">
        <references count="2">
          <reference field="4294967294" count="1" selected="0">
            <x v="0"/>
          </reference>
          <reference field="1" count="1" selected="0">
            <x v="3"/>
          </reference>
        </references>
      </pivotArea>
    </chartFormat>
    <chartFormat chart="4" format="47" series="1">
      <pivotArea type="data" outline="0" fieldPosition="0">
        <references count="2">
          <reference field="4294967294" count="1" selected="0">
            <x v="0"/>
          </reference>
          <reference field="1" count="1" selected="0">
            <x v="4"/>
          </reference>
        </references>
      </pivotArea>
    </chartFormat>
    <chartFormat chart="4" format="48">
      <pivotArea type="data" outline="0" fieldPosition="0">
        <references count="3">
          <reference field="4294967294" count="1" selected="0">
            <x v="0"/>
          </reference>
          <reference field="0" count="1" selected="0">
            <x v="0"/>
          </reference>
          <reference field="1" count="1" selected="0">
            <x v="4"/>
          </reference>
        </references>
      </pivotArea>
    </chartFormat>
    <chartFormat chart="4" format="49" series="1">
      <pivotArea type="data" outline="0" fieldPosition="0">
        <references count="2">
          <reference field="4294967294" count="1" selected="0">
            <x v="0"/>
          </reference>
          <reference field="1" count="1" selected="0">
            <x v="5"/>
          </reference>
        </references>
      </pivotArea>
    </chartFormat>
    <chartFormat chart="4" format="50">
      <pivotArea type="data" outline="0" fieldPosition="0">
        <references count="3">
          <reference field="4294967294" count="1" selected="0">
            <x v="0"/>
          </reference>
          <reference field="0" count="1" selected="0">
            <x v="0"/>
          </reference>
          <reference field="1" count="1" selected="0">
            <x v="5"/>
          </reference>
        </references>
      </pivotArea>
    </chartFormat>
    <chartFormat chart="4" format="51" series="1">
      <pivotArea type="data" outline="0" fieldPosition="0">
        <references count="2">
          <reference field="4294967294" count="1" selected="0">
            <x v="0"/>
          </reference>
          <reference field="1" count="1" selected="0">
            <x v="6"/>
          </reference>
        </references>
      </pivotArea>
    </chartFormat>
    <chartFormat chart="4" format="52">
      <pivotArea type="data" outline="0" fieldPosition="0">
        <references count="3">
          <reference field="4294967294" count="1" selected="0">
            <x v="0"/>
          </reference>
          <reference field="0" count="1" selected="0">
            <x v="0"/>
          </reference>
          <reference field="1" count="1" selected="0">
            <x v="6"/>
          </reference>
        </references>
      </pivotArea>
    </chartFormat>
    <chartFormat chart="4" format="53">
      <pivotArea type="data" outline="0" fieldPosition="0">
        <references count="3">
          <reference field="4294967294" count="1" selected="0">
            <x v="0"/>
          </reference>
          <reference field="0" count="1" selected="0">
            <x v="0"/>
          </reference>
          <reference field="1" count="1" selected="0">
            <x v="3"/>
          </reference>
        </references>
      </pivotArea>
    </chartFormat>
    <chartFormat chart="4" format="54">
      <pivotArea type="data" outline="0" fieldPosition="0">
        <references count="3">
          <reference field="4294967294" count="1" selected="0">
            <x v="0"/>
          </reference>
          <reference field="0" count="1" selected="0">
            <x v="1"/>
          </reference>
          <reference field="1" count="1" selected="0">
            <x v="0"/>
          </reference>
        </references>
      </pivotArea>
    </chartFormat>
    <chartFormat chart="4" format="55">
      <pivotArea type="data" outline="0" fieldPosition="0">
        <references count="3">
          <reference field="4294967294" count="1" selected="0">
            <x v="0"/>
          </reference>
          <reference field="0" count="1" selected="0">
            <x v="2"/>
          </reference>
          <reference field="1"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C9DF72A4-B78E-4D49-959A-3F303DA6E2CD}" name="count number" cacheId="3"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5">
  <location ref="A11:I16" firstHeaderRow="1" firstDataRow="2" firstDataCol="1"/>
  <pivotFields count="5">
    <pivotField axis="axisRow" showAll="0">
      <items count="4">
        <item x="0"/>
        <item x="1"/>
        <item x="2"/>
        <item t="default"/>
      </items>
    </pivotField>
    <pivotField axis="axisCol" showAll="0">
      <items count="8">
        <item x="4"/>
        <item x="0"/>
        <item x="6"/>
        <item x="5"/>
        <item x="1"/>
        <item x="3"/>
        <item x="2"/>
        <item t="default"/>
      </items>
    </pivotField>
    <pivotField dataField="1" showAll="0"/>
    <pivotField showAll="0"/>
    <pivotField showAll="0"/>
  </pivotFields>
  <rowFields count="1">
    <field x="0"/>
  </rowFields>
  <rowItems count="4">
    <i>
      <x/>
    </i>
    <i>
      <x v="1"/>
    </i>
    <i>
      <x v="2"/>
    </i>
    <i t="grand">
      <x/>
    </i>
  </rowItems>
  <colFields count="1">
    <field x="1"/>
  </colFields>
  <colItems count="8">
    <i>
      <x/>
    </i>
    <i>
      <x v="1"/>
    </i>
    <i>
      <x v="2"/>
    </i>
    <i>
      <x v="3"/>
    </i>
    <i>
      <x v="4"/>
    </i>
    <i>
      <x v="5"/>
    </i>
    <i>
      <x v="6"/>
    </i>
    <i t="grand">
      <x/>
    </i>
  </colItems>
  <dataFields count="1">
    <dataField name="Count of Nhà vận tải" fld="2" subtotal="count" baseField="0" baseItem="0"/>
  </dataFields>
  <formats count="20">
    <format dxfId="317">
      <pivotArea type="all" dataOnly="0" outline="0" fieldPosition="0"/>
    </format>
    <format dxfId="316">
      <pivotArea outline="0" collapsedLevelsAreSubtotals="1" fieldPosition="0"/>
    </format>
    <format dxfId="315">
      <pivotArea type="origin" dataOnly="0" labelOnly="1" outline="0" fieldPosition="0"/>
    </format>
    <format dxfId="314">
      <pivotArea field="0" type="button" dataOnly="0" labelOnly="1" outline="0" axis="axisRow" fieldPosition="0"/>
    </format>
    <format dxfId="313">
      <pivotArea type="topRight" dataOnly="0" labelOnly="1" outline="0" fieldPosition="0"/>
    </format>
    <format dxfId="312">
      <pivotArea field="1" type="button" dataOnly="0" labelOnly="1" outline="0" axis="axisCol" fieldPosition="0"/>
    </format>
    <format dxfId="311">
      <pivotArea dataOnly="0" labelOnly="1" fieldPosition="0">
        <references count="1">
          <reference field="1" count="0"/>
        </references>
      </pivotArea>
    </format>
    <format dxfId="310">
      <pivotArea dataOnly="0" labelOnly="1" grandRow="1" outline="0" fieldPosition="0"/>
    </format>
    <format dxfId="309">
      <pivotArea dataOnly="0" labelOnly="1" fieldPosition="0">
        <references count="1">
          <reference field="0" count="0"/>
        </references>
      </pivotArea>
    </format>
    <format dxfId="308">
      <pivotArea dataOnly="0" labelOnly="1" grandCol="1" outline="0" fieldPosition="0"/>
    </format>
    <format dxfId="307">
      <pivotArea type="all" dataOnly="0" outline="0" fieldPosition="0"/>
    </format>
    <format dxfId="306">
      <pivotArea outline="0" collapsedLevelsAreSubtotals="1" fieldPosition="0"/>
    </format>
    <format dxfId="305">
      <pivotArea type="origin" dataOnly="0" labelOnly="1" outline="0" fieldPosition="0"/>
    </format>
    <format dxfId="304">
      <pivotArea field="1" type="button" dataOnly="0" labelOnly="1" outline="0" axis="axisCol" fieldPosition="0"/>
    </format>
    <format dxfId="303">
      <pivotArea type="topRight" dataOnly="0" labelOnly="1" outline="0" fieldPosition="0"/>
    </format>
    <format dxfId="302">
      <pivotArea field="0" type="button" dataOnly="0" labelOnly="1" outline="0" axis="axisRow" fieldPosition="0"/>
    </format>
    <format dxfId="301">
      <pivotArea dataOnly="0" labelOnly="1" fieldPosition="0">
        <references count="1">
          <reference field="0" count="0"/>
        </references>
      </pivotArea>
    </format>
    <format dxfId="300">
      <pivotArea dataOnly="0" labelOnly="1" grandRow="1" outline="0" fieldPosition="0"/>
    </format>
    <format dxfId="299">
      <pivotArea dataOnly="0" labelOnly="1" fieldPosition="0">
        <references count="1">
          <reference field="1" count="0"/>
        </references>
      </pivotArea>
    </format>
    <format dxfId="298">
      <pivotArea dataOnly="0" labelOnly="1" grandCol="1" outline="0"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1D96451A-9FF1-40BE-818B-0114D29063FA}" name="tỉ lệ." cacheId="5"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0">
  <location ref="A67:B84" firstHeaderRow="1" firstDataRow="1" firstDataCol="1" rowPageCount="2" colPageCount="1"/>
  <pivotFields count="4">
    <pivotField axis="axisRow" allDrilled="1" showAll="0" dataSourceSort="1" defaultAttributeDrillState="1">
      <items count="17">
        <item x="0"/>
        <item x="1"/>
        <item x="2"/>
        <item x="3"/>
        <item x="4"/>
        <item x="5"/>
        <item x="6"/>
        <item x="7"/>
        <item x="8"/>
        <item x="9"/>
        <item x="10"/>
        <item x="11"/>
        <item x="12"/>
        <item x="13"/>
        <item x="14"/>
        <item x="15"/>
        <item t="default"/>
      </items>
    </pivotField>
    <pivotField axis="axisPage" allDrilled="1" subtotalTop="0" showAll="0" dataSourceSort="1" defaultSubtotal="0" defaultAttributeDrillState="1"/>
    <pivotField axis="axisPage" allDrilled="1" subtotalTop="0" showAll="0" dataSourceSort="1" defaultSubtotal="0" defaultAttributeDrillState="1"/>
    <pivotField dataField="1" subtotalTop="0" showAll="0" defaultSubtotal="0"/>
  </pivotFields>
  <rowFields count="1">
    <field x="0"/>
  </rowFields>
  <rowItems count="17">
    <i>
      <x/>
    </i>
    <i>
      <x v="1"/>
    </i>
    <i>
      <x v="2"/>
    </i>
    <i>
      <x v="3"/>
    </i>
    <i>
      <x v="4"/>
    </i>
    <i>
      <x v="5"/>
    </i>
    <i>
      <x v="6"/>
    </i>
    <i>
      <x v="7"/>
    </i>
    <i>
      <x v="8"/>
    </i>
    <i>
      <x v="9"/>
    </i>
    <i>
      <x v="10"/>
    </i>
    <i>
      <x v="11"/>
    </i>
    <i>
      <x v="12"/>
    </i>
    <i>
      <x v="13"/>
    </i>
    <i>
      <x v="14"/>
    </i>
    <i>
      <x v="15"/>
    </i>
    <i t="grand">
      <x/>
    </i>
  </rowItems>
  <colItems count="1">
    <i/>
  </colItems>
  <pageFields count="2">
    <pageField fld="1" hier="10" name="[Table_Raw_Data__ngắn].[Tháng].[All]" cap="All"/>
    <pageField fld="2" hier="11" name="[Table_Raw_Data__ngắn].[Chi nhánh].[All]" cap="All"/>
  </pageFields>
  <dataFields count="1">
    <dataField name="Sum of Chi Phí - ngắn" fld="3" showDataAs="percentOfCol" baseField="0" baseItem="0" numFmtId="10"/>
  </dataFields>
  <formats count="9">
    <format dxfId="326">
      <pivotArea outline="0" collapsedLevelsAreSubtotals="1" fieldPosition="0"/>
    </format>
    <format dxfId="325">
      <pivotArea collapsedLevelsAreSubtotals="1" fieldPosition="0">
        <references count="1">
          <reference field="0" count="0"/>
        </references>
      </pivotArea>
    </format>
    <format dxfId="324">
      <pivotArea outline="0" fieldPosition="0">
        <references count="1">
          <reference field="4294967294" count="1">
            <x v="0"/>
          </reference>
        </references>
      </pivotArea>
    </format>
    <format dxfId="323">
      <pivotArea type="all" dataOnly="0" outline="0" fieldPosition="0"/>
    </format>
    <format dxfId="322">
      <pivotArea outline="0" collapsedLevelsAreSubtotals="1" fieldPosition="0"/>
    </format>
    <format dxfId="321">
      <pivotArea field="0" type="button" dataOnly="0" labelOnly="1" outline="0" axis="axisRow" fieldPosition="0"/>
    </format>
    <format dxfId="320">
      <pivotArea dataOnly="0" labelOnly="1" fieldPosition="0">
        <references count="1">
          <reference field="0" count="4">
            <x v="5"/>
            <x v="12"/>
            <x v="13"/>
            <x v="15"/>
          </reference>
        </references>
      </pivotArea>
    </format>
    <format dxfId="319">
      <pivotArea dataOnly="0" labelOnly="1" grandRow="1" outline="0" fieldPosition="0"/>
    </format>
    <format dxfId="318">
      <pivotArea dataOnly="0" labelOnly="1" outline="0" axis="axisValues" fieldPosition="0"/>
    </format>
  </formats>
  <chartFormats count="17">
    <chartFormat chart="9" format="18" series="1">
      <pivotArea type="data" outline="0" fieldPosition="0">
        <references count="1">
          <reference field="4294967294" count="1" selected="0">
            <x v="0"/>
          </reference>
        </references>
      </pivotArea>
    </chartFormat>
    <chartFormat chart="9" format="19">
      <pivotArea type="data" outline="0" fieldPosition="0">
        <references count="2">
          <reference field="4294967294" count="1" selected="0">
            <x v="0"/>
          </reference>
          <reference field="0" count="1" selected="0">
            <x v="0"/>
          </reference>
        </references>
      </pivotArea>
    </chartFormat>
    <chartFormat chart="9" format="20">
      <pivotArea type="data" outline="0" fieldPosition="0">
        <references count="2">
          <reference field="4294967294" count="1" selected="0">
            <x v="0"/>
          </reference>
          <reference field="0" count="1" selected="0">
            <x v="1"/>
          </reference>
        </references>
      </pivotArea>
    </chartFormat>
    <chartFormat chart="9" format="21">
      <pivotArea type="data" outline="0" fieldPosition="0">
        <references count="2">
          <reference field="4294967294" count="1" selected="0">
            <x v="0"/>
          </reference>
          <reference field="0" count="1" selected="0">
            <x v="2"/>
          </reference>
        </references>
      </pivotArea>
    </chartFormat>
    <chartFormat chart="9" format="22">
      <pivotArea type="data" outline="0" fieldPosition="0">
        <references count="2">
          <reference field="4294967294" count="1" selected="0">
            <x v="0"/>
          </reference>
          <reference field="0" count="1" selected="0">
            <x v="3"/>
          </reference>
        </references>
      </pivotArea>
    </chartFormat>
    <chartFormat chart="9" format="23">
      <pivotArea type="data" outline="0" fieldPosition="0">
        <references count="2">
          <reference field="4294967294" count="1" selected="0">
            <x v="0"/>
          </reference>
          <reference field="0" count="1" selected="0">
            <x v="4"/>
          </reference>
        </references>
      </pivotArea>
    </chartFormat>
    <chartFormat chart="9" format="24">
      <pivotArea type="data" outline="0" fieldPosition="0">
        <references count="2">
          <reference field="4294967294" count="1" selected="0">
            <x v="0"/>
          </reference>
          <reference field="0" count="1" selected="0">
            <x v="5"/>
          </reference>
        </references>
      </pivotArea>
    </chartFormat>
    <chartFormat chart="9" format="25">
      <pivotArea type="data" outline="0" fieldPosition="0">
        <references count="2">
          <reference field="4294967294" count="1" selected="0">
            <x v="0"/>
          </reference>
          <reference field="0" count="1" selected="0">
            <x v="6"/>
          </reference>
        </references>
      </pivotArea>
    </chartFormat>
    <chartFormat chart="9" format="26">
      <pivotArea type="data" outline="0" fieldPosition="0">
        <references count="2">
          <reference field="4294967294" count="1" selected="0">
            <x v="0"/>
          </reference>
          <reference field="0" count="1" selected="0">
            <x v="7"/>
          </reference>
        </references>
      </pivotArea>
    </chartFormat>
    <chartFormat chart="9" format="27">
      <pivotArea type="data" outline="0" fieldPosition="0">
        <references count="2">
          <reference field="4294967294" count="1" selected="0">
            <x v="0"/>
          </reference>
          <reference field="0" count="1" selected="0">
            <x v="8"/>
          </reference>
        </references>
      </pivotArea>
    </chartFormat>
    <chartFormat chart="9" format="28">
      <pivotArea type="data" outline="0" fieldPosition="0">
        <references count="2">
          <reference field="4294967294" count="1" selected="0">
            <x v="0"/>
          </reference>
          <reference field="0" count="1" selected="0">
            <x v="9"/>
          </reference>
        </references>
      </pivotArea>
    </chartFormat>
    <chartFormat chart="9" format="29">
      <pivotArea type="data" outline="0" fieldPosition="0">
        <references count="2">
          <reference field="4294967294" count="1" selected="0">
            <x v="0"/>
          </reference>
          <reference field="0" count="1" selected="0">
            <x v="10"/>
          </reference>
        </references>
      </pivotArea>
    </chartFormat>
    <chartFormat chart="9" format="30">
      <pivotArea type="data" outline="0" fieldPosition="0">
        <references count="2">
          <reference field="4294967294" count="1" selected="0">
            <x v="0"/>
          </reference>
          <reference field="0" count="1" selected="0">
            <x v="11"/>
          </reference>
        </references>
      </pivotArea>
    </chartFormat>
    <chartFormat chart="9" format="31">
      <pivotArea type="data" outline="0" fieldPosition="0">
        <references count="2">
          <reference field="4294967294" count="1" selected="0">
            <x v="0"/>
          </reference>
          <reference field="0" count="1" selected="0">
            <x v="12"/>
          </reference>
        </references>
      </pivotArea>
    </chartFormat>
    <chartFormat chart="9" format="32">
      <pivotArea type="data" outline="0" fieldPosition="0">
        <references count="2">
          <reference field="4294967294" count="1" selected="0">
            <x v="0"/>
          </reference>
          <reference field="0" count="1" selected="0">
            <x v="13"/>
          </reference>
        </references>
      </pivotArea>
    </chartFormat>
    <chartFormat chart="9" format="33">
      <pivotArea type="data" outline="0" fieldPosition="0">
        <references count="2">
          <reference field="4294967294" count="1" selected="0">
            <x v="0"/>
          </reference>
          <reference field="0" count="1" selected="0">
            <x v="14"/>
          </reference>
        </references>
      </pivotArea>
    </chartFormat>
    <chartFormat chart="9" format="34">
      <pivotArea type="data" outline="0" fieldPosition="0">
        <references count="2">
          <reference field="4294967294" count="1" selected="0">
            <x v="0"/>
          </reference>
          <reference field="0" count="1" selected="0">
            <x v="15"/>
          </reference>
        </references>
      </pivotArea>
    </chartFormat>
  </chartFormats>
  <pivotHierarchies count="30">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Row="0" dragToCol="0" dragToPage="0" dragToData="1" caption="Excellent"/>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12"/>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test.xlsx!Table_Raw_Data__ngắn">
        <x15:activeTabTopLevelEntity name="[Table_Raw_Data__ngắn]"/>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1D7FF6D4-4A4C-47DC-975C-9EF9AE0ADE75}" name="chi phí- dài" cacheId="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3">
  <location ref="A3:E8" firstHeaderRow="1" firstDataRow="2" firstDataCol="1"/>
  <pivotFields count="3">
    <pivotField dataField="1" subtotalTop="0" showAll="0" defaultSubtotal="0"/>
    <pivotField axis="axisCol" allDrilled="1" showAll="0" dataSourceSort="1" defaultAttributeDrillState="1">
      <items count="4">
        <item x="0"/>
        <item x="1"/>
        <item x="2"/>
        <item t="default"/>
      </items>
    </pivotField>
    <pivotField axis="axisRow" allDrilled="1" showAll="0" dataSourceSort="1" defaultAttributeDrillState="1">
      <items count="4">
        <item x="0"/>
        <item x="1"/>
        <item x="2"/>
        <item t="default"/>
      </items>
    </pivotField>
  </pivotFields>
  <rowFields count="1">
    <field x="2"/>
  </rowFields>
  <rowItems count="4">
    <i>
      <x/>
    </i>
    <i>
      <x v="1"/>
    </i>
    <i>
      <x v="2"/>
    </i>
    <i t="grand">
      <x/>
    </i>
  </rowItems>
  <colFields count="1">
    <field x="1"/>
  </colFields>
  <colItems count="4">
    <i>
      <x/>
    </i>
    <i>
      <x v="1"/>
    </i>
    <i>
      <x v="2"/>
    </i>
    <i t="grand">
      <x/>
    </i>
  </colItems>
  <dataFields count="1">
    <dataField name="Sum of Chi Phí- Dài" fld="0" baseField="0" baseItem="0" numFmtId="43"/>
  </dataFields>
  <formats count="20">
    <format dxfId="212">
      <pivotArea type="all" dataOnly="0" outline="0" fieldPosition="0"/>
    </format>
    <format dxfId="211">
      <pivotArea outline="0" collapsedLevelsAreSubtotals="1" fieldPosition="0"/>
    </format>
    <format dxfId="210">
      <pivotArea type="origin" dataOnly="0" labelOnly="1" outline="0" fieldPosition="0"/>
    </format>
    <format dxfId="209">
      <pivotArea field="1" type="button" dataOnly="0" labelOnly="1" outline="0" axis="axisCol" fieldPosition="0"/>
    </format>
    <format dxfId="208">
      <pivotArea type="topRight" dataOnly="0" labelOnly="1" outline="0" fieldPosition="0"/>
    </format>
    <format dxfId="207">
      <pivotArea field="2" type="button" dataOnly="0" labelOnly="1" outline="0" axis="axisRow" fieldPosition="0"/>
    </format>
    <format dxfId="206">
      <pivotArea dataOnly="0" labelOnly="1" fieldPosition="0">
        <references count="1">
          <reference field="2" count="0"/>
        </references>
      </pivotArea>
    </format>
    <format dxfId="205">
      <pivotArea dataOnly="0" labelOnly="1" grandRow="1" outline="0" fieldPosition="0"/>
    </format>
    <format dxfId="204">
      <pivotArea dataOnly="0" labelOnly="1" fieldPosition="0">
        <references count="1">
          <reference field="1" count="0"/>
        </references>
      </pivotArea>
    </format>
    <format dxfId="203">
      <pivotArea dataOnly="0" labelOnly="1" grandCol="1" outline="0" fieldPosition="0"/>
    </format>
    <format dxfId="202">
      <pivotArea type="all" dataOnly="0" outline="0" fieldPosition="0"/>
    </format>
    <format dxfId="201">
      <pivotArea outline="0" collapsedLevelsAreSubtotals="1" fieldPosition="0"/>
    </format>
    <format dxfId="200">
      <pivotArea type="origin" dataOnly="0" labelOnly="1" outline="0" fieldPosition="0"/>
    </format>
    <format dxfId="199">
      <pivotArea field="1" type="button" dataOnly="0" labelOnly="1" outline="0" axis="axisCol" fieldPosition="0"/>
    </format>
    <format dxfId="198">
      <pivotArea type="topRight" dataOnly="0" labelOnly="1" outline="0" fieldPosition="0"/>
    </format>
    <format dxfId="197">
      <pivotArea field="2" type="button" dataOnly="0" labelOnly="1" outline="0" axis="axisRow" fieldPosition="0"/>
    </format>
    <format dxfId="196">
      <pivotArea dataOnly="0" labelOnly="1" fieldPosition="0">
        <references count="1">
          <reference field="2" count="0"/>
        </references>
      </pivotArea>
    </format>
    <format dxfId="195">
      <pivotArea dataOnly="0" labelOnly="1" grandRow="1" outline="0" fieldPosition="0"/>
    </format>
    <format dxfId="194">
      <pivotArea dataOnly="0" labelOnly="1" fieldPosition="0">
        <references count="1">
          <reference field="1" count="0"/>
        </references>
      </pivotArea>
    </format>
    <format dxfId="193">
      <pivotArea dataOnly="0" labelOnly="1" grandCol="1" outline="0" fieldPosition="0"/>
    </format>
  </formats>
  <chartFormats count="11">
    <chartFormat chart="2" format="21" series="1">
      <pivotArea type="data" outline="0" fieldPosition="0">
        <references count="2">
          <reference field="4294967294" count="1" selected="0">
            <x v="0"/>
          </reference>
          <reference field="1" count="1" selected="0">
            <x v="0"/>
          </reference>
        </references>
      </pivotArea>
    </chartFormat>
    <chartFormat chart="2" format="22">
      <pivotArea type="data" outline="0" fieldPosition="0">
        <references count="3">
          <reference field="4294967294" count="1" selected="0">
            <x v="0"/>
          </reference>
          <reference field="1" count="1" selected="0">
            <x v="0"/>
          </reference>
          <reference field="2" count="1" selected="0">
            <x v="1"/>
          </reference>
        </references>
      </pivotArea>
    </chartFormat>
    <chartFormat chart="2" format="23">
      <pivotArea type="data" outline="0" fieldPosition="0">
        <references count="3">
          <reference field="4294967294" count="1" selected="0">
            <x v="0"/>
          </reference>
          <reference field="1" count="1" selected="0">
            <x v="0"/>
          </reference>
          <reference field="2" count="1" selected="0">
            <x v="2"/>
          </reference>
        </references>
      </pivotArea>
    </chartFormat>
    <chartFormat chart="2" format="24" series="1">
      <pivotArea type="data" outline="0" fieldPosition="0">
        <references count="2">
          <reference field="4294967294" count="1" selected="0">
            <x v="0"/>
          </reference>
          <reference field="1" count="1" selected="0">
            <x v="1"/>
          </reference>
        </references>
      </pivotArea>
    </chartFormat>
    <chartFormat chart="2" format="25">
      <pivotArea type="data" outline="0" fieldPosition="0">
        <references count="3">
          <reference field="4294967294" count="1" selected="0">
            <x v="0"/>
          </reference>
          <reference field="1" count="1" selected="0">
            <x v="1"/>
          </reference>
          <reference field="2" count="1" selected="0">
            <x v="0"/>
          </reference>
        </references>
      </pivotArea>
    </chartFormat>
    <chartFormat chart="2" format="26">
      <pivotArea type="data" outline="0" fieldPosition="0">
        <references count="3">
          <reference field="4294967294" count="1" selected="0">
            <x v="0"/>
          </reference>
          <reference field="1" count="1" selected="0">
            <x v="1"/>
          </reference>
          <reference field="2" count="1" selected="0">
            <x v="1"/>
          </reference>
        </references>
      </pivotArea>
    </chartFormat>
    <chartFormat chart="2" format="27">
      <pivotArea type="data" outline="0" fieldPosition="0">
        <references count="3">
          <reference field="4294967294" count="1" selected="0">
            <x v="0"/>
          </reference>
          <reference field="1" count="1" selected="0">
            <x v="1"/>
          </reference>
          <reference field="2" count="1" selected="0">
            <x v="2"/>
          </reference>
        </references>
      </pivotArea>
    </chartFormat>
    <chartFormat chart="2" format="28" series="1">
      <pivotArea type="data" outline="0" fieldPosition="0">
        <references count="2">
          <reference field="4294967294" count="1" selected="0">
            <x v="0"/>
          </reference>
          <reference field="1" count="1" selected="0">
            <x v="2"/>
          </reference>
        </references>
      </pivotArea>
    </chartFormat>
    <chartFormat chart="2" format="29">
      <pivotArea type="data" outline="0" fieldPosition="0">
        <references count="3">
          <reference field="4294967294" count="1" selected="0">
            <x v="0"/>
          </reference>
          <reference field="1" count="1" selected="0">
            <x v="2"/>
          </reference>
          <reference field="2" count="1" selected="0">
            <x v="1"/>
          </reference>
        </references>
      </pivotArea>
    </chartFormat>
    <chartFormat chart="2" format="30">
      <pivotArea type="data" outline="0" fieldPosition="0">
        <references count="3">
          <reference field="4294967294" count="1" selected="0">
            <x v="0"/>
          </reference>
          <reference field="1" count="1" selected="0">
            <x v="2"/>
          </reference>
          <reference field="2" count="1" selected="0">
            <x v="2"/>
          </reference>
        </references>
      </pivotArea>
    </chartFormat>
    <chartFormat chart="2" format="31">
      <pivotArea type="data" outline="0" fieldPosition="0">
        <references count="3">
          <reference field="4294967294" count="1" selected="0">
            <x v="0"/>
          </reference>
          <reference field="1" count="1" selected="0">
            <x v="2"/>
          </reference>
          <reference field="2" count="1" selected="0">
            <x v="0"/>
          </reference>
        </references>
      </pivotArea>
    </chartFormat>
  </chartFormats>
  <pivotHierarchies count="30">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0"/>
  </rowHierarchiesUsage>
  <colHierarchiesUsage count="1">
    <colHierarchyUsage hierarchyUsage="1"/>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test.xlsx!Table_Raw_Data___dài">
        <x15:activeTabTopLevelEntity name="[Table_Raw_Data___dài]"/>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8278E336-A84A-4CE4-8A39-923750E50422}" name="tỉ lệ- dài" cacheId="36" applyNumberFormats="0" applyBorderFormats="0" applyFontFormats="0" applyPatternFormats="0" applyAlignmentFormats="0" applyWidthHeightFormats="1" dataCaption="Values" updatedVersion="8" minRefreshableVersion="3" useAutoFormatting="1" subtotalHiddenItems="1" itemPrintTitles="1" createdVersion="8" indent="0" outline="1" outlineData="1" multipleFieldFilters="0" chartFormat="3">
  <location ref="A49:B55" firstHeaderRow="1" firstDataRow="1" firstDataCol="1" rowPageCount="2" colPageCount="1"/>
  <pivotFields count="4">
    <pivotField dataField="1" subtotalTop="0" showAll="0" defaultSubtotal="0"/>
    <pivotField axis="axisRow" allDrilled="1" subtotalTop="0" showAll="0" dataSourceSort="1" defaultSubtotal="0" defaultAttributeDrillState="1">
      <items count="8">
        <item x="0"/>
        <item x="1"/>
        <item x="2"/>
        <item x="3"/>
        <item x="4"/>
        <item x="5"/>
        <item x="6"/>
        <item x="7"/>
      </items>
    </pivotField>
    <pivotField axis="axisPage" allDrilled="1" subtotalTop="0" showAll="0" dataSourceSort="1" defaultSubtotal="0" defaultAttributeDrillState="1"/>
    <pivotField axis="axisPage" allDrilled="1" subtotalTop="0" showAll="0" dataSourceSort="1" defaultSubtotal="0" defaultAttributeDrillState="1"/>
  </pivotFields>
  <rowFields count="1">
    <field x="1"/>
  </rowFields>
  <rowItems count="6">
    <i>
      <x/>
    </i>
    <i>
      <x v="1"/>
    </i>
    <i>
      <x v="2"/>
    </i>
    <i>
      <x v="3"/>
    </i>
    <i>
      <x v="4"/>
    </i>
    <i t="grand">
      <x/>
    </i>
  </rowItems>
  <colItems count="1">
    <i/>
  </colItems>
  <pageFields count="2">
    <pageField fld="3" hier="0" name="[Table_Raw_Data___dài].[Tháng].[All]" cap="All"/>
    <pageField fld="2" hier="1" name="[Table_Raw_Data___dài].[Chi nhánh].&amp;[HCM]" cap="HCM"/>
  </pageFields>
  <dataFields count="1">
    <dataField name="Sum of Chi Phí- Dài" fld="0" showDataAs="percentOfCol" baseField="0" baseItem="0" numFmtId="10"/>
  </dataFields>
  <formats count="15">
    <format dxfId="227">
      <pivotArea type="all" dataOnly="0" outline="0" fieldPosition="0"/>
    </format>
    <format dxfId="226">
      <pivotArea outline="0" collapsedLevelsAreSubtotals="1" fieldPosition="0"/>
    </format>
    <format dxfId="225">
      <pivotArea type="origin" dataOnly="0" labelOnly="1" outline="0" fieldPosition="0"/>
    </format>
    <format dxfId="224">
      <pivotArea type="topRight" dataOnly="0" labelOnly="1" outline="0" fieldPosition="0"/>
    </format>
    <format dxfId="223">
      <pivotArea dataOnly="0" labelOnly="1" grandRow="1" outline="0" fieldPosition="0"/>
    </format>
    <format dxfId="222">
      <pivotArea dataOnly="0" labelOnly="1" grandCol="1" outline="0" fieldPosition="0"/>
    </format>
    <format dxfId="221">
      <pivotArea collapsedLevelsAreSubtotals="1" fieldPosition="0">
        <references count="1">
          <reference field="1" count="0"/>
        </references>
      </pivotArea>
    </format>
    <format dxfId="220">
      <pivotArea grandRow="1" outline="0" collapsedLevelsAreSubtotals="1" fieldPosition="0"/>
    </format>
    <format dxfId="219">
      <pivotArea type="all" dataOnly="0" outline="0" fieldPosition="0"/>
    </format>
    <format dxfId="218">
      <pivotArea outline="0" collapsedLevelsAreSubtotals="1" fieldPosition="0"/>
    </format>
    <format dxfId="217">
      <pivotArea field="1" type="button" dataOnly="0" labelOnly="1" outline="0" axis="axisRow" fieldPosition="0"/>
    </format>
    <format dxfId="216">
      <pivotArea dataOnly="0" labelOnly="1" fieldPosition="0">
        <references count="1">
          <reference field="1" count="0"/>
        </references>
      </pivotArea>
    </format>
    <format dxfId="215">
      <pivotArea dataOnly="0" labelOnly="1" grandRow="1" outline="0" fieldPosition="0"/>
    </format>
    <format dxfId="214">
      <pivotArea dataOnly="0" labelOnly="1" outline="0" axis="axisValues" fieldPosition="0"/>
    </format>
    <format dxfId="213">
      <pivotArea outline="0" fieldPosition="0">
        <references count="1">
          <reference field="4294967294" count="1">
            <x v="0"/>
          </reference>
        </references>
      </pivotArea>
    </format>
  </formats>
  <chartFormats count="9">
    <chartFormat chart="2" format="11" series="1">
      <pivotArea type="data" outline="0" fieldPosition="0">
        <references count="1">
          <reference field="4294967294" count="1" selected="0">
            <x v="0"/>
          </reference>
        </references>
      </pivotArea>
    </chartFormat>
    <chartFormat chart="2" format="12">
      <pivotArea type="data" outline="0" fieldPosition="0">
        <references count="2">
          <reference field="4294967294" count="1" selected="0">
            <x v="0"/>
          </reference>
          <reference field="1" count="1" selected="0">
            <x v="0"/>
          </reference>
        </references>
      </pivotArea>
    </chartFormat>
    <chartFormat chart="2" format="13">
      <pivotArea type="data" outline="0" fieldPosition="0">
        <references count="2">
          <reference field="4294967294" count="1" selected="0">
            <x v="0"/>
          </reference>
          <reference field="1" count="1" selected="0">
            <x v="1"/>
          </reference>
        </references>
      </pivotArea>
    </chartFormat>
    <chartFormat chart="2" format="14">
      <pivotArea type="data" outline="0" fieldPosition="0">
        <references count="2">
          <reference field="4294967294" count="1" selected="0">
            <x v="0"/>
          </reference>
          <reference field="1" count="1" selected="0">
            <x v="5"/>
          </reference>
        </references>
      </pivotArea>
    </chartFormat>
    <chartFormat chart="2" format="15">
      <pivotArea type="data" outline="0" fieldPosition="0">
        <references count="2">
          <reference field="4294967294" count="1" selected="0">
            <x v="0"/>
          </reference>
          <reference field="1" count="1" selected="0">
            <x v="6"/>
          </reference>
        </references>
      </pivotArea>
    </chartFormat>
    <chartFormat chart="2" format="16">
      <pivotArea type="data" outline="0" fieldPosition="0">
        <references count="2">
          <reference field="4294967294" count="1" selected="0">
            <x v="0"/>
          </reference>
          <reference field="1" count="1" selected="0">
            <x v="7"/>
          </reference>
        </references>
      </pivotArea>
    </chartFormat>
    <chartFormat chart="2" format="17">
      <pivotArea type="data" outline="0" fieldPosition="0">
        <references count="2">
          <reference field="4294967294" count="1" selected="0">
            <x v="0"/>
          </reference>
          <reference field="1" count="1" selected="0">
            <x v="2"/>
          </reference>
        </references>
      </pivotArea>
    </chartFormat>
    <chartFormat chart="2" format="18">
      <pivotArea type="data" outline="0" fieldPosition="0">
        <references count="2">
          <reference field="4294967294" count="1" selected="0">
            <x v="0"/>
          </reference>
          <reference field="1" count="1" selected="0">
            <x v="3"/>
          </reference>
        </references>
      </pivotArea>
    </chartFormat>
    <chartFormat chart="2" format="19">
      <pivotArea type="data" outline="0" fieldPosition="0">
        <references count="2">
          <reference field="4294967294" count="1" selected="0">
            <x v="0"/>
          </reference>
          <reference field="1" count="1" selected="0">
            <x v="4"/>
          </reference>
        </references>
      </pivotArea>
    </chartFormat>
  </chartFormats>
  <pivotHierarchies count="30">
    <pivotHierarchy multipleItemSelectionAllowed="1" dragToData="1"/>
    <pivotHierarchy multipleItemSelectionAllowed="1" dragToData="1">
      <members count="1" level="1">
        <member name="[Table_Raw_Data___dài].[Chi nhánh].&amp;[HCM]"/>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2"/>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test.xlsx!Table_Raw_Data___dài">
        <x15:activeTabTopLevelEntity name="[Table_Raw_Data___dài]"/>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B2219FF6-8551-4351-B6ED-3705431241F1}" name="KPI- dài" cacheId="39" applyNumberFormats="0" applyBorderFormats="0" applyFontFormats="0" applyPatternFormats="0" applyAlignmentFormats="0" applyWidthHeightFormats="1" dataCaption="Values" updatedVersion="8" minRefreshableVersion="3" useAutoFormatting="1" subtotalHiddenItems="1" itemPrintTitles="1" createdVersion="8" indent="0" outline="1" outlineData="1" multipleFieldFilters="0" chartFormat="3">
  <location ref="A30:E36" firstHeaderRow="0" firstDataRow="1" firstDataCol="1"/>
  <pivotFields count="6">
    <pivotField axis="axisRow" allDrilled="1" subtotalTop="0" showAll="0" dataSourceSort="1" defaultSubtotal="0" defaultAttributeDrillState="1">
      <items count="8">
        <item x="0"/>
        <item x="1"/>
        <item x="2"/>
        <item x="3"/>
        <item x="4"/>
        <item x="5"/>
        <item x="6"/>
        <item x="7"/>
      </items>
    </pivotField>
    <pivotField dataField="1" subtotalTop="0" showAll="0" defaultSubtotal="0"/>
    <pivotField dataField="1" subtotalTop="0" showAll="0" defaultSubtotal="0"/>
    <pivotField dataField="1" subtotalTop="0" showAll="0" defaultSubtotal="0"/>
    <pivotField dataField="1" subtotalTop="0" showAll="0" defaultSubtotal="0"/>
    <pivotField allDrilled="1" subtotalTop="0" showAll="0" dataSourceSort="1" defaultSubtotal="0" defaultAttributeDrillState="1"/>
  </pivotFields>
  <rowFields count="1">
    <field x="0"/>
  </rowFields>
  <rowItems count="6">
    <i>
      <x/>
    </i>
    <i>
      <x v="1"/>
    </i>
    <i>
      <x v="2"/>
    </i>
    <i>
      <x v="3"/>
    </i>
    <i>
      <x v="4"/>
    </i>
    <i t="grand">
      <x/>
    </i>
  </rowItems>
  <colFields count="1">
    <field x="-2"/>
  </colFields>
  <colItems count="4">
    <i>
      <x/>
    </i>
    <i i="1">
      <x v="1"/>
    </i>
    <i i="2">
      <x v="2"/>
    </i>
    <i i="3">
      <x v="3"/>
    </i>
  </colItems>
  <dataFields count="4">
    <dataField name="Average of KPI-dài" fld="1" subtotal="average" baseField="0" baseItem="0" numFmtId="165"/>
    <dataField name="Excellent" fld="2" subtotal="count" baseField="0" baseItem="0"/>
    <dataField fld="3" subtotal="count" baseField="0" baseItem="0"/>
    <dataField fld="4" subtotal="count" baseField="0" baseItem="0"/>
  </dataFields>
  <formats count="13">
    <format dxfId="240">
      <pivotArea type="all" dataOnly="0" outline="0" fieldPosition="0"/>
    </format>
    <format dxfId="239">
      <pivotArea outline="0" collapsedLevelsAreSubtotals="1" fieldPosition="0"/>
    </format>
    <format dxfId="238">
      <pivotArea type="origin" dataOnly="0" labelOnly="1" outline="0" fieldPosition="0"/>
    </format>
    <format dxfId="237">
      <pivotArea type="topRight" dataOnly="0" labelOnly="1" outline="0" fieldPosition="0"/>
    </format>
    <format dxfId="236">
      <pivotArea dataOnly="0" labelOnly="1" grandRow="1" outline="0" fieldPosition="0"/>
    </format>
    <format dxfId="235">
      <pivotArea dataOnly="0" labelOnly="1" grandCol="1" outline="0" fieldPosition="0"/>
    </format>
    <format dxfId="234">
      <pivotArea type="all" dataOnly="0" outline="0" fieldPosition="0"/>
    </format>
    <format dxfId="233">
      <pivotArea outline="0" collapsedLevelsAreSubtotals="1" fieldPosition="0"/>
    </format>
    <format dxfId="232">
      <pivotArea type="origin" dataOnly="0" labelOnly="1" outline="0" fieldPosition="0"/>
    </format>
    <format dxfId="231">
      <pivotArea type="topRight" dataOnly="0" labelOnly="1" outline="0" fieldPosition="0"/>
    </format>
    <format dxfId="230">
      <pivotArea dataOnly="0" labelOnly="1" grandRow="1" outline="0" fieldPosition="0"/>
    </format>
    <format dxfId="229">
      <pivotArea dataOnly="0" labelOnly="1" grandCol="1" outline="0" fieldPosition="0"/>
    </format>
    <format dxfId="228">
      <pivotArea outline="0" collapsedLevelsAreSubtotals="1" fieldPosition="0"/>
    </format>
  </formats>
  <chartFormats count="13">
    <chartFormat chart="2" format="8" series="1">
      <pivotArea type="data" outline="0" fieldPosition="0">
        <references count="1">
          <reference field="4294967294" count="1" selected="0">
            <x v="0"/>
          </reference>
        </references>
      </pivotArea>
    </chartFormat>
    <chartFormat chart="2" format="9" series="1">
      <pivotArea type="data" outline="0" fieldPosition="0">
        <references count="1">
          <reference field="4294967294" count="1" selected="0">
            <x v="1"/>
          </reference>
        </references>
      </pivotArea>
    </chartFormat>
    <chartFormat chart="2" format="10" series="1">
      <pivotArea type="data" outline="0" fieldPosition="0">
        <references count="1">
          <reference field="4294967294" count="1" selected="0">
            <x v="2"/>
          </reference>
        </references>
      </pivotArea>
    </chartFormat>
    <chartFormat chart="2" format="11" series="1">
      <pivotArea type="data" outline="0" fieldPosition="0">
        <references count="1">
          <reference field="4294967294" count="1" selected="0">
            <x v="3"/>
          </reference>
        </references>
      </pivotArea>
    </chartFormat>
    <chartFormat chart="2" format="12">
      <pivotArea type="data" outline="0" fieldPosition="0">
        <references count="2">
          <reference field="4294967294" count="1" selected="0">
            <x v="0"/>
          </reference>
          <reference field="0" count="1" selected="0">
            <x v="0"/>
          </reference>
        </references>
      </pivotArea>
    </chartFormat>
    <chartFormat chart="2" format="13">
      <pivotArea type="data" outline="0" fieldPosition="0">
        <references count="2">
          <reference field="4294967294" count="1" selected="0">
            <x v="0"/>
          </reference>
          <reference field="0" count="1" selected="0">
            <x v="1"/>
          </reference>
        </references>
      </pivotArea>
    </chartFormat>
    <chartFormat chart="2" format="14">
      <pivotArea type="data" outline="0" fieldPosition="0">
        <references count="2">
          <reference field="4294967294" count="1" selected="0">
            <x v="0"/>
          </reference>
          <reference field="0" count="1" selected="0">
            <x v="5"/>
          </reference>
        </references>
      </pivotArea>
    </chartFormat>
    <chartFormat chart="2" format="15">
      <pivotArea type="data" outline="0" fieldPosition="0">
        <references count="2">
          <reference field="4294967294" count="1" selected="0">
            <x v="0"/>
          </reference>
          <reference field="0" count="1" selected="0">
            <x v="6"/>
          </reference>
        </references>
      </pivotArea>
    </chartFormat>
    <chartFormat chart="2" format="16">
      <pivotArea type="data" outline="0" fieldPosition="0">
        <references count="2">
          <reference field="4294967294" count="1" selected="0">
            <x v="0"/>
          </reference>
          <reference field="0" count="1" selected="0">
            <x v="7"/>
          </reference>
        </references>
      </pivotArea>
    </chartFormat>
    <chartFormat chart="2" format="17">
      <pivotArea type="data" outline="0" fieldPosition="0">
        <references count="2">
          <reference field="4294967294" count="1" selected="0">
            <x v="0"/>
          </reference>
          <reference field="0" count="1" selected="0">
            <x v="2"/>
          </reference>
        </references>
      </pivotArea>
    </chartFormat>
    <chartFormat chart="2" format="18">
      <pivotArea type="data" outline="0" fieldPosition="0">
        <references count="2">
          <reference field="4294967294" count="1" selected="0">
            <x v="0"/>
          </reference>
          <reference field="0" count="1" selected="0">
            <x v="3"/>
          </reference>
        </references>
      </pivotArea>
    </chartFormat>
    <chartFormat chart="2" format="19">
      <pivotArea type="data" outline="0" fieldPosition="0">
        <references count="2">
          <reference field="4294967294" count="1" selected="0">
            <x v="0"/>
          </reference>
          <reference field="0" count="1" selected="0">
            <x v="4"/>
          </reference>
        </references>
      </pivotArea>
    </chartFormat>
    <chartFormat chart="2" format="20">
      <pivotArea type="data" outline="0" fieldPosition="0">
        <references count="2">
          <reference field="4294967294" count="1" selected="0">
            <x v="3"/>
          </reference>
          <reference field="0" count="1" selected="0">
            <x v="1"/>
          </reference>
        </references>
      </pivotArea>
    </chartFormat>
  </chartFormats>
  <pivotHierarchies count="30">
    <pivotHierarchy multipleItemSelectionAllowed="1" dragToData="1"/>
    <pivotHierarchy multipleItemSelectionAllowed="1" dragToData="1">
      <members count="1" level="1">
        <member name="[Table_Raw_Data___dài].[Chi nhánh].&amp;[HCM]"/>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caption="Excellent"/>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caption="Average of KPI-dài"/>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2"/>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Table_Raw_Data___dài]"/>
        <x15:activeTabTopLevelEntity name="[Table_Raw_Data__ngắn]"/>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1D8FCE29-93AE-4535-9C17-189C543FC639}" name="static - dài" cacheId="2"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18:E23" firstHeaderRow="1" firstDataRow="2" firstDataCol="1"/>
  <pivotFields count="3">
    <pivotField dataField="1" subtotalTop="0" showAll="0" defaultSubtotal="0"/>
    <pivotField axis="axisCol" allDrilled="1" showAll="0" dataSourceSort="1" defaultAttributeDrillState="1">
      <items count="4">
        <item x="0"/>
        <item x="1"/>
        <item x="2"/>
        <item t="default"/>
      </items>
    </pivotField>
    <pivotField axis="axisRow" allDrilled="1" showAll="0" dataSourceSort="1" defaultAttributeDrillState="1">
      <items count="4">
        <item x="0"/>
        <item x="1"/>
        <item x="2"/>
        <item t="default"/>
      </items>
    </pivotField>
  </pivotFields>
  <rowFields count="1">
    <field x="2"/>
  </rowFields>
  <rowItems count="4">
    <i>
      <x/>
    </i>
    <i>
      <x v="1"/>
    </i>
    <i>
      <x v="2"/>
    </i>
    <i t="grand">
      <x/>
    </i>
  </rowItems>
  <colFields count="1">
    <field x="1"/>
  </colFields>
  <colItems count="4">
    <i>
      <x/>
    </i>
    <i>
      <x v="1"/>
    </i>
    <i>
      <x v="2"/>
    </i>
    <i t="grand">
      <x/>
    </i>
  </colItems>
  <dataFields count="1">
    <dataField name="Sum of Chi Phí- Dài" fld="0" baseField="0" baseItem="0"/>
  </dataFields>
  <formats count="10">
    <format dxfId="250">
      <pivotArea type="all" dataOnly="0" outline="0" fieldPosition="0"/>
    </format>
    <format dxfId="249">
      <pivotArea outline="0" collapsedLevelsAreSubtotals="1" fieldPosition="0"/>
    </format>
    <format dxfId="248">
      <pivotArea type="origin" dataOnly="0" labelOnly="1" outline="0" fieldPosition="0"/>
    </format>
    <format dxfId="247">
      <pivotArea field="1" type="button" dataOnly="0" labelOnly="1" outline="0" axis="axisCol" fieldPosition="0"/>
    </format>
    <format dxfId="246">
      <pivotArea type="topRight" dataOnly="0" labelOnly="1" outline="0" fieldPosition="0"/>
    </format>
    <format dxfId="245">
      <pivotArea field="2" type="button" dataOnly="0" labelOnly="1" outline="0" axis="axisRow" fieldPosition="0"/>
    </format>
    <format dxfId="244">
      <pivotArea dataOnly="0" labelOnly="1" fieldPosition="0">
        <references count="1">
          <reference field="2" count="0"/>
        </references>
      </pivotArea>
    </format>
    <format dxfId="243">
      <pivotArea dataOnly="0" labelOnly="1" grandRow="1" outline="0" fieldPosition="0"/>
    </format>
    <format dxfId="242">
      <pivotArea dataOnly="0" labelOnly="1" fieldPosition="0">
        <references count="1">
          <reference field="1" count="0"/>
        </references>
      </pivotArea>
    </format>
    <format dxfId="241">
      <pivotArea dataOnly="0" labelOnly="1" grandCol="1" outline="0" fieldPosition="0"/>
    </format>
  </formats>
  <pivotHierarchies count="30">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0"/>
  </rowHierarchiesUsage>
  <colHierarchiesUsage count="1">
    <colHierarchyUsage hierarchyUsage="1"/>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test.xlsx!Table_Raw_Data___dài">
        <x15:activeTabTopLevelEntity name="[Table_Raw_Data___dài]"/>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1526342C-3898-4D32-8677-D04D521D3BDF}" name="KPI - LTL" cacheId="8" applyNumberFormats="0" applyBorderFormats="0" applyFontFormats="0" applyPatternFormats="0" applyAlignmentFormats="0" applyWidthHeightFormats="1" dataCaption="Values" updatedVersion="8" minRefreshableVersion="3" useAutoFormatting="1" subtotalHiddenItems="1" itemPrintTitles="1" createdVersion="8" indent="0" outline="1" outlineData="1" multipleFieldFilters="0" chartFormat="5">
  <location ref="A33:E40" firstHeaderRow="0" firstDataRow="1" firstDataCol="1"/>
  <pivotFields count="6">
    <pivotField dataField="1" subtotalTop="0" showAll="0" defaultSubtotal="0"/>
    <pivotField dataField="1" subtotalTop="0" showAll="0" defaultSubtotal="0"/>
    <pivotField dataField="1" subtotalTop="0" showAll="0" defaultSubtotal="0"/>
    <pivotField dataField="1" subtotalTop="0" showAll="0" defaultSubtotal="0"/>
    <pivotField axis="axisRow" allDrilled="1" subtotalTop="0" showAll="0" dataSourceSort="1" defaultSubtotal="0" defaultAttributeDrillState="1">
      <items count="6">
        <item x="0"/>
        <item x="1"/>
        <item x="2"/>
        <item x="3"/>
        <item x="4"/>
        <item x="5"/>
      </items>
    </pivotField>
    <pivotField allDrilled="1" subtotalTop="0" showAll="0" dataSourceSort="1" defaultSubtotal="0" defaultAttributeDrillState="1"/>
  </pivotFields>
  <rowFields count="1">
    <field x="4"/>
  </rowFields>
  <rowItems count="7">
    <i>
      <x/>
    </i>
    <i>
      <x v="1"/>
    </i>
    <i>
      <x v="2"/>
    </i>
    <i>
      <x v="3"/>
    </i>
    <i>
      <x v="4"/>
    </i>
    <i>
      <x v="5"/>
    </i>
    <i t="grand">
      <x/>
    </i>
  </rowItems>
  <colFields count="1">
    <field x="-2"/>
  </colFields>
  <colItems count="4">
    <i>
      <x/>
    </i>
    <i i="1">
      <x v="1"/>
    </i>
    <i i="2">
      <x v="2"/>
    </i>
    <i i="3">
      <x v="3"/>
    </i>
  </colItems>
  <dataFields count="4">
    <dataField name="Average of KPI- LTL" fld="1" subtotal="average" baseField="0" baseItem="0"/>
    <dataField fld="0" subtotal="count" baseField="0" baseItem="0"/>
    <dataField fld="2" subtotal="count" baseField="0" baseItem="0"/>
    <dataField fld="3" subtotal="count" baseField="0" baseItem="0"/>
  </dataFields>
  <formats count="17">
    <format dxfId="128">
      <pivotArea type="all" dataOnly="0" outline="0" fieldPosition="0"/>
    </format>
    <format dxfId="127">
      <pivotArea outline="0" collapsedLevelsAreSubtotals="1" fieldPosition="0"/>
    </format>
    <format dxfId="126">
      <pivotArea type="origin" dataOnly="0" labelOnly="1" outline="0" fieldPosition="0"/>
    </format>
    <format dxfId="125">
      <pivotArea type="topRight" dataOnly="0" labelOnly="1" outline="0" fieldPosition="0"/>
    </format>
    <format dxfId="124">
      <pivotArea dataOnly="0" labelOnly="1" grandRow="1" outline="0" fieldPosition="0"/>
    </format>
    <format dxfId="123">
      <pivotArea dataOnly="0" labelOnly="1" grandCol="1" outline="0" fieldPosition="0"/>
    </format>
    <format dxfId="122">
      <pivotArea type="all" dataOnly="0" outline="0" fieldPosition="0"/>
    </format>
    <format dxfId="121">
      <pivotArea type="origin" dataOnly="0" labelOnly="1" outline="0" fieldPosition="0"/>
    </format>
    <format dxfId="120">
      <pivotArea type="topRight" dataOnly="0" labelOnly="1" outline="0" fieldPosition="0"/>
    </format>
    <format dxfId="119">
      <pivotArea dataOnly="0" labelOnly="1" grandCol="1" outline="0" fieldPosition="0"/>
    </format>
    <format dxfId="118">
      <pivotArea collapsedLevelsAreSubtotals="1" fieldPosition="0">
        <references count="1">
          <reference field="4" count="0"/>
        </references>
      </pivotArea>
    </format>
    <format dxfId="117">
      <pivotArea type="all" dataOnly="0" outline="0" fieldPosition="0"/>
    </format>
    <format dxfId="116">
      <pivotArea outline="0" collapsedLevelsAreSubtotals="1" fieldPosition="0"/>
    </format>
    <format dxfId="115">
      <pivotArea field="4" type="button" dataOnly="0" labelOnly="1" outline="0" axis="axisRow" fieldPosition="0"/>
    </format>
    <format dxfId="114">
      <pivotArea dataOnly="0" labelOnly="1" fieldPosition="0">
        <references count="1">
          <reference field="4" count="0"/>
        </references>
      </pivotArea>
    </format>
    <format dxfId="113">
      <pivotArea dataOnly="0" labelOnly="1" grandRow="1" outline="0" fieldPosition="0"/>
    </format>
    <format dxfId="112">
      <pivotArea dataOnly="0" labelOnly="1" outline="0" fieldPosition="0">
        <references count="1">
          <reference field="4294967294" count="4">
            <x v="0"/>
            <x v="1"/>
            <x v="2"/>
            <x v="3"/>
          </reference>
        </references>
      </pivotArea>
    </format>
  </formats>
  <chartFormats count="10">
    <chartFormat chart="4" format="8" series="1">
      <pivotArea type="data" outline="0" fieldPosition="0">
        <references count="1">
          <reference field="4294967294" count="1" selected="0">
            <x v="0"/>
          </reference>
        </references>
      </pivotArea>
    </chartFormat>
    <chartFormat chart="4" format="9" series="1">
      <pivotArea type="data" outline="0" fieldPosition="0">
        <references count="1">
          <reference field="4294967294" count="1" selected="0">
            <x v="1"/>
          </reference>
        </references>
      </pivotArea>
    </chartFormat>
    <chartFormat chart="4" format="10" series="1">
      <pivotArea type="data" outline="0" fieldPosition="0">
        <references count="1">
          <reference field="4294967294" count="1" selected="0">
            <x v="2"/>
          </reference>
        </references>
      </pivotArea>
    </chartFormat>
    <chartFormat chart="4" format="11" series="1">
      <pivotArea type="data" outline="0" fieldPosition="0">
        <references count="1">
          <reference field="4294967294" count="1" selected="0">
            <x v="3"/>
          </reference>
        </references>
      </pivotArea>
    </chartFormat>
    <chartFormat chart="4" format="12">
      <pivotArea type="data" outline="0" fieldPosition="0">
        <references count="2">
          <reference field="4294967294" count="1" selected="0">
            <x v="0"/>
          </reference>
          <reference field="4" count="1" selected="0">
            <x v="1"/>
          </reference>
        </references>
      </pivotArea>
    </chartFormat>
    <chartFormat chart="4" format="13">
      <pivotArea type="data" outline="0" fieldPosition="0">
        <references count="2">
          <reference field="4294967294" count="1" selected="0">
            <x v="0"/>
          </reference>
          <reference field="4" count="1" selected="0">
            <x v="0"/>
          </reference>
        </references>
      </pivotArea>
    </chartFormat>
    <chartFormat chart="4" format="14">
      <pivotArea type="data" outline="0" fieldPosition="0">
        <references count="2">
          <reference field="4294967294" count="1" selected="0">
            <x v="0"/>
          </reference>
          <reference field="4" count="1" selected="0">
            <x v="2"/>
          </reference>
        </references>
      </pivotArea>
    </chartFormat>
    <chartFormat chart="4" format="15">
      <pivotArea type="data" outline="0" fieldPosition="0">
        <references count="2">
          <reference field="4294967294" count="1" selected="0">
            <x v="0"/>
          </reference>
          <reference field="4" count="1" selected="0">
            <x v="3"/>
          </reference>
        </references>
      </pivotArea>
    </chartFormat>
    <chartFormat chart="4" format="16">
      <pivotArea type="data" outline="0" fieldPosition="0">
        <references count="2">
          <reference field="4294967294" count="1" selected="0">
            <x v="0"/>
          </reference>
          <reference field="4" count="1" selected="0">
            <x v="4"/>
          </reference>
        </references>
      </pivotArea>
    </chartFormat>
    <chartFormat chart="4" format="17">
      <pivotArea type="data" outline="0" fieldPosition="0">
        <references count="2">
          <reference field="4294967294" count="1" selected="0">
            <x v="0"/>
          </reference>
          <reference field="4" count="1" selected="0">
            <x v="5"/>
          </reference>
        </references>
      </pivotArea>
    </chartFormat>
  </chartFormats>
  <pivotHierarchies count="30">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caption="Average of KPI- LTL"/>
  </pivotHierarchies>
  <pivotTableStyleInfo name="PivotStyleLight16" showRowHeaders="1" showColHeaders="1" showRowStripes="0" showColStripes="0" showLastColumn="1"/>
  <rowHierarchiesUsage count="1">
    <rowHierarchyUsage hierarchyUsage="7"/>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Table_Raw_Data___LTL]"/>
        <x15:activeTabTopLevelEntity name="[Table_Raw_Data__ngắn]"/>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4BFCF97E-7D83-48F5-B148-BE8D09C95D2C}" name="chi phí - LTL" cacheId="6"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5">
  <location ref="A14:E24" firstHeaderRow="1" firstDataRow="2" firstDataCol="1"/>
  <pivotFields count="3">
    <pivotField axis="axisCol" allDrilled="1" subtotalTop="0" showAll="0" dataSourceSort="1" defaultSubtotal="0" defaultAttributeDrillState="1">
      <items count="3">
        <item x="0"/>
        <item x="1"/>
        <item x="2"/>
      </items>
    </pivotField>
    <pivotField axis="axisRow" allDrilled="1" subtotalTop="0" showAll="0" dataSourceSort="1" defaultSubtotal="0" defaultAttributeDrillState="1">
      <items count="8">
        <item x="0"/>
        <item x="1"/>
        <item x="2"/>
        <item x="3"/>
        <item x="4"/>
        <item x="5"/>
        <item x="6"/>
        <item x="7"/>
      </items>
    </pivotField>
    <pivotField dataField="1" subtotalTop="0" showAll="0" defaultSubtotal="0"/>
  </pivotFields>
  <rowFields count="1">
    <field x="1"/>
  </rowFields>
  <rowItems count="9">
    <i>
      <x/>
    </i>
    <i>
      <x v="1"/>
    </i>
    <i>
      <x v="2"/>
    </i>
    <i>
      <x v="3"/>
    </i>
    <i>
      <x v="4"/>
    </i>
    <i>
      <x v="5"/>
    </i>
    <i>
      <x v="6"/>
    </i>
    <i>
      <x v="7"/>
    </i>
    <i t="grand">
      <x/>
    </i>
  </rowItems>
  <colFields count="1">
    <field x="0"/>
  </colFields>
  <colItems count="4">
    <i>
      <x/>
    </i>
    <i>
      <x v="1"/>
    </i>
    <i>
      <x v="2"/>
    </i>
    <i t="grand">
      <x/>
    </i>
  </colItems>
  <dataFields count="1">
    <dataField name="Sum of Chi Phí - LTL" fld="2" baseField="0" baseItem="0" numFmtId="43"/>
  </dataFields>
  <formats count="27">
    <format dxfId="155">
      <pivotArea type="all" dataOnly="0" outline="0" fieldPosition="0"/>
    </format>
    <format dxfId="154">
      <pivotArea outline="0" collapsedLevelsAreSubtotals="1" fieldPosition="0"/>
    </format>
    <format dxfId="153">
      <pivotArea type="origin" dataOnly="0" labelOnly="1" outline="0" fieldPosition="0"/>
    </format>
    <format dxfId="152">
      <pivotArea field="1" type="button" dataOnly="0" labelOnly="1" outline="0" axis="axisRow" fieldPosition="0"/>
    </format>
    <format dxfId="151">
      <pivotArea type="topRight" dataOnly="0" labelOnly="1" outline="0" fieldPosition="0"/>
    </format>
    <format dxfId="150">
      <pivotArea field="0" type="button" dataOnly="0" labelOnly="1" outline="0" axis="axisCol" fieldPosition="0"/>
    </format>
    <format dxfId="149">
      <pivotArea dataOnly="0" labelOnly="1" fieldPosition="0">
        <references count="1">
          <reference field="0" count="0"/>
        </references>
      </pivotArea>
    </format>
    <format dxfId="148">
      <pivotArea dataOnly="0" labelOnly="1" grandRow="1" outline="0" fieldPosition="0"/>
    </format>
    <format dxfId="147">
      <pivotArea dataOnly="0" labelOnly="1" fieldPosition="0">
        <references count="1">
          <reference field="1" count="0"/>
        </references>
      </pivotArea>
    </format>
    <format dxfId="146">
      <pivotArea dataOnly="0" labelOnly="1" grandCol="1" outline="0" fieldPosition="0"/>
    </format>
    <format dxfId="145">
      <pivotArea type="all" dataOnly="0" outline="0" fieldPosition="0"/>
    </format>
    <format dxfId="144">
      <pivotArea outline="0" collapsedLevelsAreSubtotals="1" fieldPosition="0"/>
    </format>
    <format dxfId="143">
      <pivotArea outline="0" collapsedLevelsAreSubtotals="1" fieldPosition="0"/>
    </format>
    <format dxfId="142">
      <pivotArea type="all" dataOnly="0" outline="0" fieldPosition="0"/>
    </format>
    <format dxfId="141">
      <pivotArea outline="0" collapsedLevelsAreSubtotals="1" fieldPosition="0"/>
    </format>
    <format dxfId="140">
      <pivotArea type="origin" dataOnly="0" labelOnly="1" outline="0" fieldPosition="0"/>
    </format>
    <format dxfId="139">
      <pivotArea field="0" type="button" dataOnly="0" labelOnly="1" outline="0" axis="axisCol" fieldPosition="0"/>
    </format>
    <format dxfId="138">
      <pivotArea type="topRight" dataOnly="0" labelOnly="1" outline="0" fieldPosition="0"/>
    </format>
    <format dxfId="137">
      <pivotArea field="1" type="button" dataOnly="0" labelOnly="1" outline="0" axis="axisRow" fieldPosition="0"/>
    </format>
    <format dxfId="136">
      <pivotArea dataOnly="0" labelOnly="1" fieldPosition="0">
        <references count="1">
          <reference field="1" count="0"/>
        </references>
      </pivotArea>
    </format>
    <format dxfId="135">
      <pivotArea dataOnly="0" labelOnly="1" grandRow="1" outline="0" fieldPosition="0"/>
    </format>
    <format dxfId="134">
      <pivotArea dataOnly="0" labelOnly="1" fieldPosition="0">
        <references count="1">
          <reference field="0" count="0"/>
        </references>
      </pivotArea>
    </format>
    <format dxfId="133">
      <pivotArea dataOnly="0" labelOnly="1" grandCol="1" outline="0" fieldPosition="0"/>
    </format>
    <format dxfId="132">
      <pivotArea collapsedLevelsAreSubtotals="1" fieldPosition="0">
        <references count="1">
          <reference field="1" count="0"/>
        </references>
      </pivotArea>
    </format>
    <format dxfId="131">
      <pivotArea dataOnly="0" labelOnly="1" fieldPosition="0">
        <references count="1">
          <reference field="1" count="0"/>
        </references>
      </pivotArea>
    </format>
    <format dxfId="130">
      <pivotArea collapsedLevelsAreSubtotals="1" fieldPosition="0">
        <references count="1">
          <reference field="1" count="0"/>
        </references>
      </pivotArea>
    </format>
    <format dxfId="129">
      <pivotArea dataOnly="0" labelOnly="1" fieldPosition="0">
        <references count="1">
          <reference field="1" count="0"/>
        </references>
      </pivotArea>
    </format>
  </formats>
  <chartFormats count="11">
    <chartFormat chart="0" format="0" series="1">
      <pivotArea type="data" outline="0" fieldPosition="0">
        <references count="2">
          <reference field="4294967294" count="1" selected="0">
            <x v="0"/>
          </reference>
          <reference field="1" count="1" selected="0">
            <x v="0"/>
          </reference>
        </references>
      </pivotArea>
    </chartFormat>
    <chartFormat chart="0" format="1" series="1">
      <pivotArea type="data" outline="0" fieldPosition="0">
        <references count="2">
          <reference field="4294967294" count="1" selected="0">
            <x v="0"/>
          </reference>
          <reference field="1" count="1" selected="0">
            <x v="1"/>
          </reference>
        </references>
      </pivotArea>
    </chartFormat>
    <chartFormat chart="0" format="2" series="1">
      <pivotArea type="data" outline="0" fieldPosition="0">
        <references count="2">
          <reference field="4294967294" count="1" selected="0">
            <x v="0"/>
          </reference>
          <reference field="1" count="1" selected="0">
            <x v="2"/>
          </reference>
        </references>
      </pivotArea>
    </chartFormat>
    <chartFormat chart="0" format="3" series="1">
      <pivotArea type="data" outline="0" fieldPosition="0">
        <references count="2">
          <reference field="4294967294" count="1" selected="0">
            <x v="0"/>
          </reference>
          <reference field="1" count="1" selected="0">
            <x v="3"/>
          </reference>
        </references>
      </pivotArea>
    </chartFormat>
    <chartFormat chart="0" format="4" series="1">
      <pivotArea type="data" outline="0" fieldPosition="0">
        <references count="2">
          <reference field="4294967294" count="1" selected="0">
            <x v="0"/>
          </reference>
          <reference field="1" count="1" selected="0">
            <x v="4"/>
          </reference>
        </references>
      </pivotArea>
    </chartFormat>
    <chartFormat chart="0" format="5" series="1">
      <pivotArea type="data" outline="0" fieldPosition="0">
        <references count="2">
          <reference field="4294967294" count="1" selected="0">
            <x v="0"/>
          </reference>
          <reference field="1" count="1" selected="0">
            <x v="5"/>
          </reference>
        </references>
      </pivotArea>
    </chartFormat>
    <chartFormat chart="0" format="6" series="1">
      <pivotArea type="data" outline="0" fieldPosition="0">
        <references count="2">
          <reference field="4294967294" count="1" selected="0">
            <x v="0"/>
          </reference>
          <reference field="1" count="1" selected="0">
            <x v="6"/>
          </reference>
        </references>
      </pivotArea>
    </chartFormat>
    <chartFormat chart="0" format="7" series="1">
      <pivotArea type="data" outline="0" fieldPosition="0">
        <references count="2">
          <reference field="4294967294" count="1" selected="0">
            <x v="0"/>
          </reference>
          <reference field="1" count="1" selected="0">
            <x v="7"/>
          </reference>
        </references>
      </pivotArea>
    </chartFormat>
    <chartFormat chart="4" format="6" series="1">
      <pivotArea type="data" outline="0" fieldPosition="0">
        <references count="2">
          <reference field="4294967294" count="1" selected="0">
            <x v="0"/>
          </reference>
          <reference field="0" count="1" selected="0">
            <x v="0"/>
          </reference>
        </references>
      </pivotArea>
    </chartFormat>
    <chartFormat chart="4" format="7" series="1">
      <pivotArea type="data" outline="0" fieldPosition="0">
        <references count="2">
          <reference field="4294967294" count="1" selected="0">
            <x v="0"/>
          </reference>
          <reference field="0" count="1" selected="0">
            <x v="1"/>
          </reference>
        </references>
      </pivotArea>
    </chartFormat>
    <chartFormat chart="4" format="8" series="1">
      <pivotArea type="data" outline="0" fieldPosition="0">
        <references count="2">
          <reference field="4294967294" count="1" selected="0">
            <x v="0"/>
          </reference>
          <reference field="0" count="1" selected="0">
            <x v="2"/>
          </reference>
        </references>
      </pivotArea>
    </chartFormat>
  </chartFormats>
  <pivotHierarchies count="30">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4" showRowHeaders="1" showColHeaders="1" showRowStripes="0" showColStripes="0" showLastColumn="1"/>
  <rowHierarchiesUsage count="1">
    <rowHierarchyUsage hierarchyUsage="6"/>
  </rowHierarchiesUsage>
  <colHierarchiesUsage count="1">
    <colHierarchyUsage hierarchyUsage="5"/>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test.xlsx!Table_Raw_Data___LTL">
        <x15:activeTabTopLevelEntity name="[Table_Raw_Data___LTL]"/>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2.xml><?xml version="1.0" encoding="utf-8"?>
<pivotTableDefinition xmlns="http://schemas.openxmlformats.org/spreadsheetml/2006/main" xmlns:mc="http://schemas.openxmlformats.org/markup-compatibility/2006" xmlns:xr="http://schemas.microsoft.com/office/spreadsheetml/2014/revision" mc:Ignorable="xr" xr:uid="{E411B89A-2B10-4D0B-9A88-D0F066B71181}" name="STATIC - LTL" cacheId="0" applyNumberFormats="0" applyBorderFormats="0" applyFontFormats="0" applyPatternFormats="0" applyAlignmentFormats="0" applyWidthHeightFormats="1" dataCaption="Values" updatedVersion="8" minRefreshableVersion="3" useAutoFormatting="1" subtotalHiddenItems="1" itemPrintTitles="1" createdVersion="8" indent="0" outline="1" outlineData="1" multipleFieldFilters="0" chartFormat="2">
  <location ref="A6:J11" firstHeaderRow="1" firstDataRow="2" firstDataCol="1"/>
  <pivotFields count="3">
    <pivotField axis="axisRow" allDrilled="1" subtotalTop="0" showAll="0" dataSourceSort="1" defaultSubtotal="0" defaultAttributeDrillState="1">
      <items count="3">
        <item x="0"/>
        <item x="1"/>
        <item x="2"/>
      </items>
    </pivotField>
    <pivotField axis="axisCol" allDrilled="1" subtotalTop="0" showAll="0" dataSourceSort="1" defaultSubtotal="0" defaultAttributeDrillState="1">
      <items count="8">
        <item x="0"/>
        <item x="1"/>
        <item x="2"/>
        <item x="3"/>
        <item x="4"/>
        <item x="5"/>
        <item x="6"/>
        <item x="7"/>
      </items>
    </pivotField>
    <pivotField dataField="1" subtotalTop="0" showAll="0" defaultSubtotal="0"/>
  </pivotFields>
  <rowFields count="1">
    <field x="0"/>
  </rowFields>
  <rowItems count="4">
    <i>
      <x/>
    </i>
    <i>
      <x v="1"/>
    </i>
    <i>
      <x v="2"/>
    </i>
    <i t="grand">
      <x/>
    </i>
  </rowItems>
  <colFields count="1">
    <field x="1"/>
  </colFields>
  <colItems count="9">
    <i>
      <x/>
    </i>
    <i>
      <x v="1"/>
    </i>
    <i>
      <x v="2"/>
    </i>
    <i>
      <x v="3"/>
    </i>
    <i>
      <x v="4"/>
    </i>
    <i>
      <x v="5"/>
    </i>
    <i>
      <x v="6"/>
    </i>
    <i>
      <x v="7"/>
    </i>
    <i t="grand">
      <x/>
    </i>
  </colItems>
  <dataFields count="1">
    <dataField name="Sum of Chi Phí - LTL" fld="2" baseField="0" baseItem="0"/>
  </dataFields>
  <formats count="20">
    <format dxfId="175">
      <pivotArea type="all" dataOnly="0" outline="0" fieldPosition="0"/>
    </format>
    <format dxfId="174">
      <pivotArea outline="0" collapsedLevelsAreSubtotals="1" fieldPosition="0"/>
    </format>
    <format dxfId="173">
      <pivotArea type="origin" dataOnly="0" labelOnly="1" outline="0" fieldPosition="0"/>
    </format>
    <format dxfId="172">
      <pivotArea field="1" type="button" dataOnly="0" labelOnly="1" outline="0" axis="axisCol" fieldPosition="0"/>
    </format>
    <format dxfId="171">
      <pivotArea type="topRight" dataOnly="0" labelOnly="1" outline="0" fieldPosition="0"/>
    </format>
    <format dxfId="170">
      <pivotArea field="0" type="button" dataOnly="0" labelOnly="1" outline="0" axis="axisRow" fieldPosition="0"/>
    </format>
    <format dxfId="169">
      <pivotArea dataOnly="0" labelOnly="1" fieldPosition="0">
        <references count="1">
          <reference field="0" count="0"/>
        </references>
      </pivotArea>
    </format>
    <format dxfId="168">
      <pivotArea dataOnly="0" labelOnly="1" grandRow="1" outline="0" fieldPosition="0"/>
    </format>
    <format dxfId="167">
      <pivotArea dataOnly="0" labelOnly="1" fieldPosition="0">
        <references count="1">
          <reference field="1" count="0"/>
        </references>
      </pivotArea>
    </format>
    <format dxfId="166">
      <pivotArea dataOnly="0" labelOnly="1" grandCol="1" outline="0" fieldPosition="0"/>
    </format>
    <format dxfId="165">
      <pivotArea type="all" dataOnly="0" outline="0" fieldPosition="0"/>
    </format>
    <format dxfId="164">
      <pivotArea outline="0" collapsedLevelsAreSubtotals="1" fieldPosition="0"/>
    </format>
    <format dxfId="163">
      <pivotArea type="origin" dataOnly="0" labelOnly="1" outline="0" fieldPosition="0"/>
    </format>
    <format dxfId="162">
      <pivotArea field="1" type="button" dataOnly="0" labelOnly="1" outline="0" axis="axisCol" fieldPosition="0"/>
    </format>
    <format dxfId="161">
      <pivotArea type="topRight" dataOnly="0" labelOnly="1" outline="0" fieldPosition="0"/>
    </format>
    <format dxfId="160">
      <pivotArea field="0" type="button" dataOnly="0" labelOnly="1" outline="0" axis="axisRow" fieldPosition="0"/>
    </format>
    <format dxfId="159">
      <pivotArea dataOnly="0" labelOnly="1" fieldPosition="0">
        <references count="1">
          <reference field="0" count="0"/>
        </references>
      </pivotArea>
    </format>
    <format dxfId="158">
      <pivotArea dataOnly="0" labelOnly="1" grandRow="1" outline="0" fieldPosition="0"/>
    </format>
    <format dxfId="157">
      <pivotArea dataOnly="0" labelOnly="1" fieldPosition="0">
        <references count="1">
          <reference field="1" count="0"/>
        </references>
      </pivotArea>
    </format>
    <format dxfId="156">
      <pivotArea dataOnly="0" labelOnly="1" grandCol="1" outline="0" fieldPosition="0"/>
    </format>
  </formats>
  <pivotHierarchies count="30">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5"/>
  </rowHierarchiesUsage>
  <colHierarchiesUsage count="1">
    <colHierarchyUsage hierarchyUsage="6"/>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test.xlsx!Table_Raw_Data___LTL">
        <x15:activeTabTopLevelEntity name="[Table_Raw_Data___LTL]"/>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3.xml><?xml version="1.0" encoding="utf-8"?>
<pivotTableDefinition xmlns="http://schemas.openxmlformats.org/spreadsheetml/2006/main" xmlns:mc="http://schemas.openxmlformats.org/markup-compatibility/2006" xmlns:xr="http://schemas.microsoft.com/office/spreadsheetml/2014/revision" mc:Ignorable="xr" xr:uid="{7DE4263E-18DE-453D-8363-27D74010F132}" name="RATIO - LTL" cacheId="7" applyNumberFormats="0" applyBorderFormats="0" applyFontFormats="0" applyPatternFormats="0" applyAlignmentFormats="0" applyWidthHeightFormats="1" dataCaption="Values" updatedVersion="8" minRefreshableVersion="3" useAutoFormatting="1" subtotalHiddenItems="1" itemPrintTitles="1" createdVersion="8" indent="0" outline="1" outlineData="1" multipleFieldFilters="0" chartFormat="5">
  <location ref="A47:B54" firstHeaderRow="1" firstDataRow="1" firstDataCol="1"/>
  <pivotFields count="3">
    <pivotField dataField="1" subtotalTop="0" showAll="0" defaultSubtotal="0"/>
    <pivotField axis="axisRow" allDrilled="1" subtotalTop="0" showAll="0" dataSourceSort="1" defaultSubtotal="0" defaultAttributeDrillState="1">
      <items count="6">
        <item x="0"/>
        <item x="1"/>
        <item x="2"/>
        <item x="3"/>
        <item x="4"/>
        <item x="5"/>
      </items>
    </pivotField>
    <pivotField allDrilled="1" subtotalTop="0" showAll="0" dataSourceSort="1" defaultSubtotal="0" defaultAttributeDrillState="1"/>
  </pivotFields>
  <rowFields count="1">
    <field x="1"/>
  </rowFields>
  <rowItems count="7">
    <i>
      <x/>
    </i>
    <i>
      <x v="1"/>
    </i>
    <i>
      <x v="2"/>
    </i>
    <i>
      <x v="3"/>
    </i>
    <i>
      <x v="4"/>
    </i>
    <i>
      <x v="5"/>
    </i>
    <i t="grand">
      <x/>
    </i>
  </rowItems>
  <colItems count="1">
    <i/>
  </colItems>
  <dataFields count="1">
    <dataField name="Sum of Chi Phí - LTL" fld="0" showDataAs="percentOfCol" baseField="0" baseItem="0" numFmtId="10"/>
  </dataFields>
  <formats count="17">
    <format dxfId="192">
      <pivotArea type="all" dataOnly="0" outline="0" fieldPosition="0"/>
    </format>
    <format dxfId="191">
      <pivotArea outline="0" collapsedLevelsAreSubtotals="1" fieldPosition="0"/>
    </format>
    <format dxfId="190">
      <pivotArea type="origin" dataOnly="0" labelOnly="1" outline="0" fieldPosition="0"/>
    </format>
    <format dxfId="189">
      <pivotArea type="topRight" dataOnly="0" labelOnly="1" outline="0" fieldPosition="0"/>
    </format>
    <format dxfId="188">
      <pivotArea dataOnly="0" labelOnly="1" grandRow="1" outline="0" fieldPosition="0"/>
    </format>
    <format dxfId="187">
      <pivotArea dataOnly="0" labelOnly="1" grandCol="1" outline="0" fieldPosition="0"/>
    </format>
    <format dxfId="186">
      <pivotArea type="all" dataOnly="0" outline="0" fieldPosition="0"/>
    </format>
    <format dxfId="185">
      <pivotArea type="origin" dataOnly="0" labelOnly="1" outline="0" fieldPosition="0"/>
    </format>
    <format dxfId="184">
      <pivotArea type="topRight" dataOnly="0" labelOnly="1" outline="0" fieldPosition="0"/>
    </format>
    <format dxfId="183">
      <pivotArea dataOnly="0" labelOnly="1" grandCol="1" outline="0" fieldPosition="0"/>
    </format>
    <format dxfId="182">
      <pivotArea outline="0" fieldPosition="0">
        <references count="1">
          <reference field="4294967294" count="1">
            <x v="0"/>
          </reference>
        </references>
      </pivotArea>
    </format>
    <format dxfId="181">
      <pivotArea type="all" dataOnly="0" outline="0" fieldPosition="0"/>
    </format>
    <format dxfId="180">
      <pivotArea outline="0" collapsedLevelsAreSubtotals="1" fieldPosition="0"/>
    </format>
    <format dxfId="179">
      <pivotArea field="1" type="button" dataOnly="0" labelOnly="1" outline="0" axis="axisRow" fieldPosition="0"/>
    </format>
    <format dxfId="178">
      <pivotArea dataOnly="0" labelOnly="1" fieldPosition="0">
        <references count="1">
          <reference field="1" count="0"/>
        </references>
      </pivotArea>
    </format>
    <format dxfId="177">
      <pivotArea dataOnly="0" labelOnly="1" grandRow="1" outline="0" fieldPosition="0"/>
    </format>
    <format dxfId="176">
      <pivotArea dataOnly="0" labelOnly="1" outline="0" axis="axisValues" fieldPosition="0"/>
    </format>
  </formats>
  <chartFormats count="7">
    <chartFormat chart="4" format="72" series="1">
      <pivotArea type="data" outline="0" fieldPosition="0">
        <references count="1">
          <reference field="4294967294" count="1" selected="0">
            <x v="0"/>
          </reference>
        </references>
      </pivotArea>
    </chartFormat>
    <chartFormat chart="4" format="73">
      <pivotArea type="data" outline="0" fieldPosition="0">
        <references count="2">
          <reference field="4294967294" count="1" selected="0">
            <x v="0"/>
          </reference>
          <reference field="1" count="1" selected="0">
            <x v="0"/>
          </reference>
        </references>
      </pivotArea>
    </chartFormat>
    <chartFormat chart="4" format="74">
      <pivotArea type="data" outline="0" fieldPosition="0">
        <references count="2">
          <reference field="4294967294" count="1" selected="0">
            <x v="0"/>
          </reference>
          <reference field="1" count="1" selected="0">
            <x v="1"/>
          </reference>
        </references>
      </pivotArea>
    </chartFormat>
    <chartFormat chart="4" format="75">
      <pivotArea type="data" outline="0" fieldPosition="0">
        <references count="2">
          <reference field="4294967294" count="1" selected="0">
            <x v="0"/>
          </reference>
          <reference field="1" count="1" selected="0">
            <x v="2"/>
          </reference>
        </references>
      </pivotArea>
    </chartFormat>
    <chartFormat chart="4" format="76">
      <pivotArea type="data" outline="0" fieldPosition="0">
        <references count="2">
          <reference field="4294967294" count="1" selected="0">
            <x v="0"/>
          </reference>
          <reference field="1" count="1" selected="0">
            <x v="3"/>
          </reference>
        </references>
      </pivotArea>
    </chartFormat>
    <chartFormat chart="4" format="77">
      <pivotArea type="data" outline="0" fieldPosition="0">
        <references count="2">
          <reference field="4294967294" count="1" selected="0">
            <x v="0"/>
          </reference>
          <reference field="1" count="1" selected="0">
            <x v="4"/>
          </reference>
        </references>
      </pivotArea>
    </chartFormat>
    <chartFormat chart="4" format="78">
      <pivotArea type="data" outline="0" fieldPosition="0">
        <references count="2">
          <reference field="4294967294" count="1" selected="0">
            <x v="0"/>
          </reference>
          <reference field="1" count="1" selected="0">
            <x v="5"/>
          </reference>
        </references>
      </pivotArea>
    </chartFormat>
  </chartFormats>
  <pivotHierarchies count="30">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7"/>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test.xlsx!Table_Raw_Data___LTL">
        <x15:activeTabTopLevelEntity name="[Table_Raw_Data___LTL]"/>
      </x15:pivotTableUISettings>
    </ext>
    <ext xmlns:xpdl="http://schemas.microsoft.com/office/spreadsheetml/2016/pivotdefaultlayout" uri="{747A6164-185A-40DC-8AA5-F01512510D54}">
      <xpdl:pivotTableDefinition16 EnabledSubtotalsDefault="0" SubtotalsOnTopDefault="0"/>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4" connectionId="2" xr16:uid="{05B24863-DDC1-44AE-B636-8E7EB2580D21}" autoFormatId="16" applyNumberFormats="0" applyBorderFormats="0" applyFontFormats="0" applyPatternFormats="0" applyAlignmentFormats="0" applyWidthHeightFormats="0">
  <queryTableRefresh nextId="30">
    <queryTableFields count="5">
      <queryTableField id="1" name="Tháng" tableColumnId="1"/>
      <queryTableField id="2" name="Chi nhánh" tableColumnId="2"/>
      <queryTableField id="3" name="Nhà vận tải" tableColumnId="3"/>
      <queryTableField id="28" name="Chi Phí - LTL" tableColumnId="28"/>
      <queryTableField id="29" name="KPI- LTL" tableColumnId="29"/>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3" connectionId="3" xr16:uid="{9504C777-0A3A-4BA3-9C44-170424A36EE1}" autoFormatId="16" applyNumberFormats="0" applyBorderFormats="0" applyFontFormats="0" applyPatternFormats="0" applyAlignmentFormats="0" applyWidthHeightFormats="0">
  <queryTableRefresh nextId="30">
    <queryTableFields count="5">
      <queryTableField id="1" name="Tháng" tableColumnId="1"/>
      <queryTableField id="2" name="Chi nhánh" tableColumnId="2"/>
      <queryTableField id="3" name="Nhà vận tải" tableColumnId="3"/>
      <queryTableField id="28" name="Chi Phí- cẩu" tableColumnId="28"/>
      <queryTableField id="29" name="KPI- cẩu" tableColumnId="29"/>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2" connectionId="1" xr16:uid="{E1F4C972-6E4A-48F4-A727-FB24F4E7873A}" autoFormatId="16" applyNumberFormats="0" applyBorderFormats="0" applyFontFormats="0" applyPatternFormats="0" applyAlignmentFormats="0" applyWidthHeightFormats="0">
  <queryTableRefresh nextId="31">
    <queryTableFields count="5">
      <queryTableField id="1" name="Tháng" tableColumnId="1"/>
      <queryTableField id="2" name="Chi nhánh" tableColumnId="2"/>
      <queryTableField id="3" name="Nhà vận tải" tableColumnId="3"/>
      <queryTableField id="28" name="Chi phí- dài" tableColumnId="28"/>
      <queryTableField id="30" name="KPI-dài" tableColumnId="4"/>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1" connectionId="4" xr16:uid="{F6EC4082-C031-44A5-8F5A-3D701EF81C65}" autoFormatId="16" applyNumberFormats="0" applyBorderFormats="0" applyFontFormats="0" applyPatternFormats="0" applyAlignmentFormats="0" applyWidthHeightFormats="0">
  <queryTableRefresh nextId="27">
    <queryTableFields count="5">
      <queryTableField id="4" name="Tháng" tableColumnId="4"/>
      <queryTableField id="5" name="Chi nhánh" tableColumnId="5"/>
      <queryTableField id="6" name="Nhà vận tải" tableColumnId="6"/>
      <queryTableField id="25" name="Chi Phí - ngắn" tableColumnId="1"/>
      <queryTableField id="26" name="KPI- ngắn" tableColumnId="2"/>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hi_nhánh" xr10:uid="{DF1AB922-8536-43F9-B4E3-2A117C605AD4}" sourceName="Chi nhánh">
  <pivotTables>
    <pivotTable tabId="7" name="chi phí"/>
  </pivotTables>
  <data>
    <tabular pivotCacheId="1471960889">
      <items count="7">
        <i x="4" s="1"/>
        <i x="0" s="1"/>
        <i x="6" s="1"/>
        <i x="5" s="1"/>
        <i x="1" s="1"/>
        <i x="3" s="1"/>
        <i x="2"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hi_nhánh2" xr10:uid="{0E5A77A2-B931-4E56-B24E-DE15209844A3}" sourceName="[Table_Raw_Data__ngắn].[Chi nhánh]">
  <pivotTables>
    <pivotTable tabId="7" name="KPI"/>
    <pivotTable tabId="7" name="tỉ lệ."/>
  </pivotTables>
  <data>
    <olap pivotCacheId="1650334867">
      <levels count="2">
        <level uniqueName="[Table_Raw_Data__ngắn].[Chi nhánh].[(All)]" sourceCaption="(All)" count="0"/>
        <level uniqueName="[Table_Raw_Data__ngắn].[Chi nhánh].[Chi nhánh]" sourceCaption="Chi nhánh" count="7">
          <ranges>
            <range startItem="0">
              <i n="[Table_Raw_Data__ngắn].[Chi nhánh].&amp;[CT]" c="CT"/>
              <i n="[Table_Raw_Data__ngắn].[Chi nhánh].&amp;[DN]" c="DN"/>
              <i n="[Table_Raw_Data__ngắn].[Chi nhánh].&amp;[HCM]" c="HCM"/>
              <i n="[Table_Raw_Data__ngắn].[Chi nhánh].&amp;[HN]" c="HN"/>
              <i n="[Table_Raw_Data__ngắn].[Chi nhánh].&amp;[HP]" c="HP"/>
              <i n="[Table_Raw_Data__ngắn].[Chi nhánh].&amp;[KH]" c="KH"/>
              <i n="[Table_Raw_Data__ngắn].[Chi nhánh].&amp;[NA]" c="NA"/>
            </range>
          </ranges>
        </level>
      </levels>
      <selections count="1">
        <selection n="[Table_Raw_Data__ngắn].[Chi nhánh].[All]"/>
      </selections>
    </olap>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Tháng1" xr10:uid="{00259913-B209-426D-8059-95AC46829B1E}" sourceName="[Table_Raw_Data__ngắn].[Tháng]">
  <pivotTables>
    <pivotTable tabId="7" name="KPI"/>
    <pivotTable tabId="7" name="tỉ lệ."/>
  </pivotTables>
  <data>
    <olap pivotCacheId="1650334867">
      <levels count="2">
        <level uniqueName="[Table_Raw_Data__ngắn].[Tháng].[(All)]" sourceCaption="(All)" count="0"/>
        <level uniqueName="[Table_Raw_Data__ngắn].[Tháng].[Tháng]" sourceCaption="Tháng" count="3">
          <ranges>
            <range startItem="0">
              <i n="[Table_Raw_Data__ngắn].[Tháng].&amp;[4]" c="4"/>
              <i n="[Table_Raw_Data__ngắn].[Tháng].&amp;[5]" c="5"/>
              <i n="[Table_Raw_Data__ngắn].[Tháng].&amp;[6]" c="6"/>
            </range>
          </ranges>
        </level>
      </levels>
      <selections count="1">
        <selection n="[Table_Raw_Data__ngắn].[Tháng].[All]"/>
      </selections>
    </olap>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Tháng" xr10:uid="{69F1585A-D705-4F68-A6BC-8665BEAE10C1}" sourceName="Tháng">
  <pivotTables>
    <pivotTable tabId="7" name="chi phí"/>
  </pivotTables>
  <data>
    <tabular pivotCacheId="1471960889">
      <items count="3">
        <i x="0" s="1"/>
        <i x="1" s="1"/>
        <i x="2" s="1"/>
      </items>
    </tabular>
  </data>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hi_nhánh1" xr10:uid="{9338A904-FFA4-4FA2-B37B-092F31CA32D2}" sourceName="[Table_Raw_Data___dài].[Chi nhánh]">
  <pivotTables>
    <pivotTable tabId="10" name="chi phí- dài"/>
  </pivotTables>
  <data>
    <olap pivotCacheId="772242655">
      <levels count="2">
        <level uniqueName="[Table_Raw_Data___dài].[Chi nhánh].[(All)]" sourceCaption="(All)" count="0"/>
        <level uniqueName="[Table_Raw_Data___dài].[Chi nhánh].[Chi nhánh]" sourceCaption="Chi nhánh" count="3">
          <ranges>
            <range startItem="0">
              <i n="[Table_Raw_Data___dài].[Chi nhánh].&amp;[DN]" c="DN"/>
              <i n="[Table_Raw_Data___dài].[Chi nhánh].&amp;[HCM]" c="HCM"/>
              <i n="[Table_Raw_Data___dài].[Chi nhánh].&amp;[HN]" c="HN"/>
            </range>
          </ranges>
        </level>
      </levels>
      <selections count="1">
        <selection n="[Table_Raw_Data___dài].[Chi nhánh].[All]"/>
      </selections>
    </olap>
  </data>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Tháng2" xr10:uid="{69ED2AE4-D258-4AAE-AB43-B0409ADF5143}" sourceName="[Table_Raw_Data___dài].[Tháng]">
  <pivotTables>
    <pivotTable tabId="10" name="chi phí- dài"/>
  </pivotTables>
  <data>
    <olap pivotCacheId="772242655">
      <levels count="2">
        <level uniqueName="[Table_Raw_Data___dài].[Tháng].[(All)]" sourceCaption="(All)" count="0"/>
        <level uniqueName="[Table_Raw_Data___dài].[Tháng].[Tháng]" sourceCaption="Tháng" count="3">
          <ranges>
            <range startItem="0">
              <i n="[Table_Raw_Data___dài].[Tháng].&amp;[4]" c="4"/>
              <i n="[Table_Raw_Data___dài].[Tháng].&amp;[5]" c="5"/>
              <i n="[Table_Raw_Data___dài].[Tháng].&amp;[6]" c="6"/>
            </range>
          </ranges>
        </level>
      </levels>
      <selections count="1">
        <selection n="[Table_Raw_Data___dài].[Tháng].[All]"/>
      </selections>
    </olap>
  </data>
</slicerCacheDefinition>
</file>

<file path=xl/slicerCaches/slicerCache7.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hi_nhánh3" xr10:uid="{5D6677EA-E570-42EF-877F-625AE8CD1D7A}" sourceName="[Table_Raw_Data___dài].[Chi nhánh]">
  <pivotTables>
    <pivotTable tabId="10" name="tỉ lệ- dài"/>
    <pivotTable tabId="10" name="KPI- dài"/>
  </pivotTables>
  <data>
    <olap pivotCacheId="1066703645">
      <levels count="2">
        <level uniqueName="[Table_Raw_Data___dài].[Chi nhánh].[(All)]" sourceCaption="(All)" count="0"/>
        <level uniqueName="[Table_Raw_Data___dài].[Chi nhánh].[Chi nhánh]" sourceCaption="Chi nhánh" count="3">
          <ranges>
            <range startItem="0">
              <i n="[Table_Raw_Data___dài].[Chi nhánh].&amp;[DN]" c="DN"/>
              <i n="[Table_Raw_Data___dài].[Chi nhánh].&amp;[HCM]" c="HCM"/>
              <i n="[Table_Raw_Data___dài].[Chi nhánh].&amp;[HN]" c="HN"/>
            </range>
          </ranges>
        </level>
      </levels>
      <selections count="1">
        <selection n="[Table_Raw_Data___dài].[Chi nhánh].&amp;[HCM]"/>
      </selections>
    </olap>
  </data>
</slicerCacheDefinition>
</file>

<file path=xl/slicerCaches/slicerCache8.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Tháng3" xr10:uid="{7EF76961-2362-426E-882A-FEB6F27E3C94}" sourceName="[Table_Raw_Data___dài].[Tháng]">
  <pivotTables>
    <pivotTable tabId="10" name="tỉ lệ- dài"/>
    <pivotTable tabId="10" name="KPI- dài"/>
  </pivotTables>
  <data>
    <olap pivotCacheId="1066703645">
      <levels count="2">
        <level uniqueName="[Table_Raw_Data___dài].[Tháng].[(All)]" sourceCaption="(All)" count="0"/>
        <level uniqueName="[Table_Raw_Data___dài].[Tháng].[Tháng]" sourceCaption="Tháng" count="3">
          <ranges>
            <range startItem="0">
              <i n="[Table_Raw_Data___dài].[Tháng].&amp;[4]" c="4"/>
              <i n="[Table_Raw_Data___dài].[Tháng].&amp;[5]" c="5"/>
              <i n="[Table_Raw_Data___dài].[Tháng].&amp;[6]" c="6"/>
            </range>
          </ranges>
        </level>
      </levels>
      <selections count="1">
        <selection n="[Table_Raw_Data___dài].[Tháng].[All]"/>
      </selections>
    </olap>
  </data>
</slicerCacheDefinition>
</file>

<file path=xl/slicerCaches/slicerCache9.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hi_nhánh4" xr10:uid="{663C2795-4A6D-4278-B31C-9F425B803B7C}" sourceName="[Table_Raw_Data___LTL].[Chi nhánh]">
  <pivotTables>
    <pivotTable tabId="13" name="chi phí - LTL"/>
  </pivotTables>
  <data>
    <olap pivotCacheId="412623320">
      <levels count="2">
        <level uniqueName="[Table_Raw_Data___LTL].[Chi nhánh].[(All)]" sourceCaption="(All)" count="0"/>
        <level uniqueName="[Table_Raw_Data___LTL].[Chi nhánh].[Chi nhánh]" sourceCaption="Chi nhánh" count="8">
          <ranges>
            <range startItem="0">
              <i n="[Table_Raw_Data___LTL].[Chi nhánh].&amp;[CT]" c="CT"/>
              <i n="[Table_Raw_Data___LTL].[Chi nhánh].&amp;[DN]" c="DN"/>
              <i n="[Table_Raw_Data___LTL].[Chi nhánh].&amp;[HCM]" c="HCM"/>
              <i n="[Table_Raw_Data___LTL].[Chi nhánh].&amp;[HN]" c="HN"/>
              <i n="[Table_Raw_Data___LTL].[Chi nhánh].&amp;[HP]" c="HP"/>
              <i n="[Table_Raw_Data___LTL].[Chi nhánh].&amp;[KH]" c="KH"/>
              <i n="[Table_Raw_Data___LTL].[Chi nhánh].&amp;[NA]" c="NA"/>
              <i n="[Table_Raw_Data___LTL].[Chi nhánh].&amp;[PC]" c="PC"/>
            </range>
          </ranges>
        </level>
      </levels>
      <selections count="1">
        <selection n="[Table_Raw_Data___LTL].[Chi nhánh].[All]"/>
      </selections>
    </olap>
  </data>
</slicerCacheDefinition>
</file>

<file path=xl/slicerCaches/slicerCache10.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Tháng4" xr10:uid="{B788A019-5646-40FD-A397-547C4687986A}" sourceName="[Table_Raw_Data___LTL].[Tháng]">
  <pivotTables>
    <pivotTable tabId="13" name="chi phí - LTL"/>
  </pivotTables>
  <data>
    <olap pivotCacheId="412623320">
      <levels count="2">
        <level uniqueName="[Table_Raw_Data___LTL].[Tháng].[(All)]" sourceCaption="(All)" count="0"/>
        <level uniqueName="[Table_Raw_Data___LTL].[Tháng].[Tháng]" sourceCaption="Tháng" count="3">
          <ranges>
            <range startItem="0">
              <i n="[Table_Raw_Data___LTL].[Tháng].&amp;[4]" c="4"/>
              <i n="[Table_Raw_Data___LTL].[Tháng].&amp;[5]" c="5"/>
              <i n="[Table_Raw_Data___LTL].[Tháng].&amp;[6]" c="6"/>
            </range>
          </ranges>
        </level>
      </levels>
      <selections count="1">
        <selection n="[Table_Raw_Data___LTL].[Tháng].[All]"/>
      </selections>
    </olap>
  </data>
</slicerCacheDefinition>
</file>

<file path=xl/slicerCaches/slicerCache1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hi_nhánh5" xr10:uid="{42DE51A4-9766-47ED-9C3E-DEF47B8B0C6D}" sourceName="[Table_Raw_Data___LTL].[Chi nhánh]">
  <pivotTables>
    <pivotTable tabId="13" name="RATIO - LTL"/>
    <pivotTable tabId="13" name="KPI - LTL"/>
  </pivotTables>
  <data>
    <olap pivotCacheId="1102048968">
      <levels count="2">
        <level uniqueName="[Table_Raw_Data___LTL].[Chi nhánh].[(All)]" sourceCaption="(All)" count="0"/>
        <level uniqueName="[Table_Raw_Data___LTL].[Chi nhánh].[Chi nhánh]" sourceCaption="Chi nhánh" count="8">
          <ranges>
            <range startItem="0">
              <i n="[Table_Raw_Data___LTL].[Chi nhánh].&amp;[CT]" c="CT"/>
              <i n="[Table_Raw_Data___LTL].[Chi nhánh].&amp;[DN]" c="DN"/>
              <i n="[Table_Raw_Data___LTL].[Chi nhánh].&amp;[HCM]" c="HCM"/>
              <i n="[Table_Raw_Data___LTL].[Chi nhánh].&amp;[HN]" c="HN"/>
              <i n="[Table_Raw_Data___LTL].[Chi nhánh].&amp;[HP]" c="HP"/>
              <i n="[Table_Raw_Data___LTL].[Chi nhánh].&amp;[KH]" c="KH"/>
              <i n="[Table_Raw_Data___LTL].[Chi nhánh].&amp;[NA]" c="NA"/>
              <i n="[Table_Raw_Data___LTL].[Chi nhánh].&amp;[PC]" c="PC"/>
            </range>
          </ranges>
        </level>
      </levels>
      <selections count="1">
        <selection n="[Table_Raw_Data___LTL].[Chi nhánh].[All]"/>
      </selections>
    </olap>
  </data>
</slicerCacheDefinition>
</file>

<file path=xl/slicerCaches/slicerCache1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Tháng5" xr10:uid="{39F3D016-FA39-445B-91DE-BF6F945E1F71}" sourceName="[Table_Raw_Data___LTL].[Tháng]">
  <pivotTables>
    <pivotTable tabId="13" name="RATIO - LTL"/>
    <pivotTable tabId="13" name="KPI - LTL"/>
  </pivotTables>
  <data>
    <olap pivotCacheId="1102048968">
      <levels count="2">
        <level uniqueName="[Table_Raw_Data___LTL].[Tháng].[(All)]" sourceCaption="(All)" count="0"/>
        <level uniqueName="[Table_Raw_Data___LTL].[Tháng].[Tháng]" sourceCaption="Tháng" count="3">
          <ranges>
            <range startItem="0">
              <i n="[Table_Raw_Data___LTL].[Tháng].&amp;[4]" c="4"/>
              <i n="[Table_Raw_Data___LTL].[Tháng].&amp;[5]" c="5"/>
              <i n="[Table_Raw_Data___LTL].[Tháng].&amp;[6]" c="6"/>
            </range>
          </ranges>
        </level>
      </levels>
      <selections count="1">
        <selection n="[Table_Raw_Data___LTL].[Tháng].[All]"/>
      </selections>
    </olap>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hi nhánh" xr10:uid="{0E0156ED-1BEC-49CB-A061-77BC7078592B}" cache="Slicer_Chi_nhánh" caption="BRANCH" columnCount="3" style="SlicerStyleLight4" rowHeight="241300"/>
  <slicer name="Chi nhánh 2" xr10:uid="{20AFD176-9E84-4537-806F-0D7B0CDBA0CA}" cache="Slicer_Chi_nhánh2" caption="BRANCH" level="1" style="SlicerStyleLight6" rowHeight="241300"/>
  <slicer name="Tháng 1" xr10:uid="{E362EE37-D7A8-4A4B-BA0C-01C4822FE9E0}" cache="Slicer_Tháng1" caption="MONTH" columnCount="2" level="1" style="SlicerStyleLight6" rowHeight="241300"/>
  <slicer name="Tháng" xr10:uid="{47AF2D71-5EF9-4A8C-A09D-257084EDDC4F}" cache="Slicer_Tháng" caption="MONTH" style="SlicerStyleLight4" rowHeight="24130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hi nhánh 1" xr10:uid="{31C706AE-5995-45A1-97B1-D3443F58DC20}" cache="Slicer_Chi_nhánh1" caption="BRANCH" level="1" style="SlicerStyleLight4" rowHeight="241300"/>
  <slicer name="Tháng 2" xr10:uid="{7BEE456E-2AFF-4762-99BB-DC1414B5DAFB}" cache="Slicer_Tháng2" caption="MONTH" level="1" style="SlicerStyleLight4" rowHeight="241300"/>
  <slicer name="Chi nhánh 3" xr10:uid="{52EACFF0-826B-40F2-BFD4-C42E15A89011}" cache="Slicer_Chi_nhánh3" caption="BRANCH" level="1" style="SlicerStyleLight6" rowHeight="241300"/>
  <slicer name="Tháng 3" xr10:uid="{ED7C70DF-ECD2-46C7-8CBC-407C16A45E3A}" cache="Slicer_Tháng3" caption="MONTH" columnCount="2" level="1" style="SlicerStyleLight6" rowHeight="241300"/>
</slicers>
</file>

<file path=xl/slicers/slicer3.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hi nhánh 4" xr10:uid="{943C4DD4-BAA7-413A-B5B7-FC2BB371743C}" cache="Slicer_Chi_nhánh4" caption="BRANCH" columnCount="3" level="1" style="SlicerStyleLight4" rowHeight="241300"/>
  <slicer name="Tháng 4" xr10:uid="{41027270-8F89-4C9E-9569-DA145556FC70}" cache="Slicer_Tháng4" caption="MONTH" startItem="1" level="1" style="SlicerStyleLight4" rowHeight="241300"/>
  <slicer name="Chi nhánh 5" xr10:uid="{A0B4C140-F892-4EFE-BEEC-4C4B26B32EF1}" cache="Slicer_Chi_nhánh5" caption="BRANCH" level="1" style="SlicerStyleLight6" rowHeight="241300"/>
  <slicer name="Tháng 5" xr10:uid="{9331EC29-D324-4F9C-AC9F-1A7479CFBE9A}" cache="Slicer_Tháng5" caption="MONTH" columnCount="2" level="1" style="SlicerStyleLight6" rowHeight="241300"/>
</slicer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21EF1ADA-A8B0-4201-8A44-DAB46236588F}" name="Table_Raw_Data___LTL" displayName="Table_Raw_Data___LTL" ref="A1:E32" tableType="queryTable" totalsRowShown="0">
  <autoFilter ref="A1:E32" xr:uid="{21EF1ADA-A8B0-4201-8A44-DAB46236588F}"/>
  <tableColumns count="5">
    <tableColumn id="1" xr3:uid="{0326B8D9-7E26-4D17-8196-B1AD25E3EDFF}" uniqueName="1" name="Tháng" queryTableFieldId="1"/>
    <tableColumn id="2" xr3:uid="{7F61EA7E-98E7-4528-9229-A08D693C8092}" uniqueName="2" name="Chi nhánh" queryTableFieldId="2" dataDxfId="339"/>
    <tableColumn id="3" xr3:uid="{8AF2024E-17D7-491F-AB56-F00593A6758C}" uniqueName="3" name="Nhà vận tải" queryTableFieldId="3" dataDxfId="338"/>
    <tableColumn id="28" xr3:uid="{9A06A47A-49C7-49D7-9812-1BE8B89D89BE}" uniqueName="28" name="Chi Phí - LTL" queryTableFieldId="28"/>
    <tableColumn id="29" xr3:uid="{A8846194-7EEB-4F35-A470-189CE0B200BB}" uniqueName="29" name="KPI- LTL" queryTableFieldId="29" dataDxfId="337"/>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6E9E3341-6087-4EF2-B377-BF39D63FA9CF}" name="Table_Raw_Data__cẩu" displayName="Table_Raw_Data__cẩu" ref="A1:E6" tableType="queryTable" totalsRowShown="0">
  <autoFilter ref="A1:E6" xr:uid="{6E9E3341-6087-4EF2-B377-BF39D63FA9CF}"/>
  <tableColumns count="5">
    <tableColumn id="1" xr3:uid="{DE2D3ABD-134F-476B-B892-C571A082DAB3}" uniqueName="1" name="Tháng" queryTableFieldId="1"/>
    <tableColumn id="2" xr3:uid="{983FE658-A895-4758-922B-DCF8A3280507}" uniqueName="2" name="Chi nhánh" queryTableFieldId="2" dataDxfId="336"/>
    <tableColumn id="3" xr3:uid="{EE7D2CFF-B401-4895-8A60-2E9363B05FA9}" uniqueName="3" name="Nhà vận tải" queryTableFieldId="3" dataDxfId="335"/>
    <tableColumn id="28" xr3:uid="{89E459F0-A88B-4F39-9346-A7584B349152}" uniqueName="28" name="Chi Phí- Cẩu" queryTableFieldId="28"/>
    <tableColumn id="29" xr3:uid="{416917BF-1316-410A-BAD0-D87C4788C45B}" uniqueName="29" name="KPI- cẩu" queryTableFieldId="29" dataDxfId="334"/>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9E9C4F9C-D3B7-458F-9F6D-11EE46223BBD}" name="Table_Raw_Data___dài" displayName="Table_Raw_Data___dài" ref="A1:E25" tableType="queryTable" totalsRowShown="0">
  <autoFilter ref="A1:E25" xr:uid="{9E9C4F9C-D3B7-458F-9F6D-11EE46223BBD}"/>
  <tableColumns count="5">
    <tableColumn id="1" xr3:uid="{DF837099-0B87-42C9-8EF1-E27732DF410E}" uniqueName="1" name="Tháng" queryTableFieldId="1"/>
    <tableColumn id="2" xr3:uid="{E8103E2F-0FA6-4EFF-84CF-7103C5789F50}" uniqueName="2" name="Chi nhánh" queryTableFieldId="2" dataDxfId="333"/>
    <tableColumn id="3" xr3:uid="{53E40FA8-07A6-41F2-8EED-D4841ACD9604}" uniqueName="3" name="Nhà vận tải" queryTableFieldId="3" dataDxfId="332"/>
    <tableColumn id="28" xr3:uid="{075E004D-A6A6-4174-B133-AD0739B1B2B5}" uniqueName="28" name="Chi Phí- Dài" queryTableFieldId="28" dataDxfId="331" dataCellStyle="Comma"/>
    <tableColumn id="4" xr3:uid="{5BAC3347-37DA-4725-A794-8360B81EA26F}" uniqueName="4" name="KPI-dài" queryTableFieldId="30"/>
  </tableColumns>
  <tableStyleInfo name="TableStyleMedium7"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6FA7700C-1863-45CC-8C22-683775031020}" name="Table_Raw_Data__ngắn" displayName="Table_Raw_Data__ngắn" ref="A1:E58" tableType="queryTable" totalsRowShown="0">
  <autoFilter ref="A1:E58" xr:uid="{6FA7700C-1863-45CC-8C22-683775031020}"/>
  <tableColumns count="5">
    <tableColumn id="4" xr3:uid="{483BE4D8-2B1B-4DCA-AC9C-CE94E3FB86F6}" uniqueName="4" name="Tháng" queryTableFieldId="4" dataDxfId="330"/>
    <tableColumn id="5" xr3:uid="{635AEC5B-7E30-41A7-AFA7-883905948FDB}" uniqueName="5" name="Chi nhánh" queryTableFieldId="5" dataDxfId="329"/>
    <tableColumn id="6" xr3:uid="{2B689132-CDF2-436C-AF97-32471F218EC5}" uniqueName="6" name="Nhà vận tải" queryTableFieldId="6" dataDxfId="328"/>
    <tableColumn id="1" xr3:uid="{8FAE1CBF-52E7-49A2-AACB-560BE34B4F8D}" uniqueName="1" name="Chi Phí - ngắn" queryTableFieldId="25"/>
    <tableColumn id="2" xr3:uid="{37F49737-3B25-4A81-AB59-4B8F16C20DDF}" uniqueName="2" name="KPI- ngắn" queryTableFieldId="26" dataDxfId="327"/>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table" Target="../tables/table2.xml"/></Relationships>
</file>

<file path=xl/worksheets/_rels/sheet3.xml.rels><?xml version="1.0" encoding="UTF-8" standalone="yes"?>
<Relationships xmlns="http://schemas.openxmlformats.org/package/2006/relationships"><Relationship Id="rId1" Type="http://schemas.openxmlformats.org/officeDocument/2006/relationships/table" Target="../tables/table3.xml"/></Relationships>
</file>

<file path=xl/worksheets/_rels/sheet4.xml.rels><?xml version="1.0" encoding="UTF-8" standalone="yes"?>
<Relationships xmlns="http://schemas.openxmlformats.org/package/2006/relationships"><Relationship Id="rId1" Type="http://schemas.openxmlformats.org/officeDocument/2006/relationships/table" Target="../tables/table4.xml"/></Relationships>
</file>

<file path=xl/worksheets/_rels/sheet5.xml.rels><?xml version="1.0" encoding="UTF-8" standalone="yes"?>
<Relationships xmlns="http://schemas.openxmlformats.org/package/2006/relationships"><Relationship Id="rId3" Type="http://schemas.openxmlformats.org/officeDocument/2006/relationships/pivotTable" Target="../pivotTables/pivotTable3.xml"/><Relationship Id="rId2" Type="http://schemas.openxmlformats.org/officeDocument/2006/relationships/pivotTable" Target="../pivotTables/pivotTable2.xml"/><Relationship Id="rId1" Type="http://schemas.openxmlformats.org/officeDocument/2006/relationships/pivotTable" Target="../pivotTables/pivotTable1.xml"/><Relationship Id="rId5" Type="http://schemas.openxmlformats.org/officeDocument/2006/relationships/pivotTable" Target="../pivotTables/pivotTable5.xml"/><Relationship Id="rId4" Type="http://schemas.openxmlformats.org/officeDocument/2006/relationships/pivotTable" Target="../pivotTables/pivotTable4.xml"/></Relationships>
</file>

<file path=xl/worksheets/_rels/sheet6.xml.rels><?xml version="1.0" encoding="UTF-8" standalone="yes"?>
<Relationships xmlns="http://schemas.openxmlformats.org/package/2006/relationships"><Relationship Id="rId3" Type="http://schemas.openxmlformats.org/officeDocument/2006/relationships/pivotTable" Target="../pivotTables/pivotTable8.xml"/><Relationship Id="rId2" Type="http://schemas.openxmlformats.org/officeDocument/2006/relationships/pivotTable" Target="../pivotTables/pivotTable7.xml"/><Relationship Id="rId1" Type="http://schemas.openxmlformats.org/officeDocument/2006/relationships/pivotTable" Target="../pivotTables/pivotTable6.xml"/><Relationship Id="rId4" Type="http://schemas.openxmlformats.org/officeDocument/2006/relationships/pivotTable" Target="../pivotTables/pivotTable9.xml"/></Relationships>
</file>

<file path=xl/worksheets/_rels/sheet7.xml.rels><?xml version="1.0" encoding="UTF-8" standalone="yes"?>
<Relationships xmlns="http://schemas.openxmlformats.org/package/2006/relationships"><Relationship Id="rId3" Type="http://schemas.openxmlformats.org/officeDocument/2006/relationships/pivotTable" Target="../pivotTables/pivotTable12.xml"/><Relationship Id="rId2" Type="http://schemas.openxmlformats.org/officeDocument/2006/relationships/pivotTable" Target="../pivotTables/pivotTable11.xml"/><Relationship Id="rId1" Type="http://schemas.openxmlformats.org/officeDocument/2006/relationships/pivotTable" Target="../pivotTables/pivotTable10.xml"/><Relationship Id="rId5" Type="http://schemas.openxmlformats.org/officeDocument/2006/relationships/printerSettings" Target="../printerSettings/printerSettings1.bin"/><Relationship Id="rId4" Type="http://schemas.openxmlformats.org/officeDocument/2006/relationships/pivotTable" Target="../pivotTables/pivotTable13.xml"/></Relationships>
</file>

<file path=xl/worksheets/_rels/sheet8.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9.xml.rels><?xml version="1.0" encoding="UTF-8" standalone="yes"?>
<Relationships xmlns="http://schemas.openxmlformats.org/package/2006/relationships"><Relationship Id="rId2" Type="http://schemas.microsoft.com/office/2007/relationships/slicer" Target="../slicers/slicer2.xml"/><Relationship Id="rId1" Type="http://schemas.openxmlformats.org/officeDocument/2006/relationships/drawing" Target="../drawings/drawing3.xml"/></Relationships>
</file>

<file path=xl/worksheets/_rels/sheet10.xml.rels><?xml version="1.0" encoding="UTF-8" standalone="yes"?>
<Relationships xmlns="http://schemas.openxmlformats.org/package/2006/relationships"><Relationship Id="rId2" Type="http://schemas.microsoft.com/office/2007/relationships/slicer" Target="../slicers/slicer3.xml"/><Relationship Id="rId1" Type="http://schemas.openxmlformats.org/officeDocument/2006/relationships/drawing" Target="../drawings/drawing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0816CF0-871D-4010-98DB-76336208E956}">
  <sheetPr codeName="Sheet1"/>
  <dimension ref="A1:E32"/>
  <sheetViews>
    <sheetView topLeftCell="A4" zoomScale="80" zoomScaleNormal="80" workbookViewId="0">
      <selection activeCell="G10" sqref="G10"/>
    </sheetView>
  </sheetViews>
  <sheetFormatPr defaultRowHeight="14.5" x14ac:dyDescent="0.35"/>
  <cols>
    <col min="1" max="1" width="9.453125" bestFit="1" customWidth="1"/>
    <col min="2" max="2" width="12.7265625" bestFit="1" customWidth="1"/>
    <col min="3" max="3" width="14.26953125" bestFit="1" customWidth="1"/>
    <col min="4" max="4" width="14.54296875" bestFit="1" customWidth="1"/>
    <col min="5" max="5" width="13" bestFit="1" customWidth="1"/>
    <col min="6" max="6" width="43.81640625" bestFit="1" customWidth="1"/>
    <col min="7" max="7" width="12" bestFit="1" customWidth="1"/>
    <col min="8" max="8" width="11.1796875" bestFit="1" customWidth="1"/>
    <col min="9" max="9" width="12" bestFit="1" customWidth="1"/>
    <col min="10" max="10" width="11.7265625" bestFit="1" customWidth="1"/>
    <col min="11" max="11" width="11.1796875" bestFit="1" customWidth="1"/>
    <col min="12" max="13" width="12.1796875" bestFit="1" customWidth="1"/>
    <col min="14" max="14" width="12" bestFit="1" customWidth="1"/>
    <col min="15" max="17" width="12.1796875" bestFit="1" customWidth="1"/>
    <col min="18" max="18" width="11.7265625" bestFit="1" customWidth="1"/>
    <col min="19" max="21" width="12.1796875" bestFit="1" customWidth="1"/>
    <col min="22" max="22" width="81.1796875" bestFit="1" customWidth="1"/>
    <col min="23" max="23" width="74.81640625" bestFit="1" customWidth="1"/>
    <col min="24" max="24" width="12.1796875" bestFit="1" customWidth="1"/>
    <col min="25" max="25" width="81.1796875" bestFit="1" customWidth="1"/>
    <col min="26" max="29" width="12.1796875" bestFit="1" customWidth="1"/>
  </cols>
  <sheetData>
    <row r="1" spans="1:5" x14ac:dyDescent="0.35">
      <c r="A1" t="s">
        <v>0</v>
      </c>
      <c r="B1" t="s">
        <v>1</v>
      </c>
      <c r="C1" t="s">
        <v>2</v>
      </c>
      <c r="D1" t="s">
        <v>36</v>
      </c>
      <c r="E1" t="s">
        <v>4</v>
      </c>
    </row>
    <row r="2" spans="1:5" x14ac:dyDescent="0.35">
      <c r="A2">
        <v>4</v>
      </c>
      <c r="B2" t="s">
        <v>5</v>
      </c>
      <c r="C2" t="s">
        <v>6</v>
      </c>
      <c r="D2">
        <v>215951.00000000003</v>
      </c>
      <c r="E2">
        <v>0.95599999999999996</v>
      </c>
    </row>
    <row r="3" spans="1:5" x14ac:dyDescent="0.35">
      <c r="A3">
        <v>4</v>
      </c>
      <c r="B3" t="s">
        <v>5</v>
      </c>
      <c r="C3" t="s">
        <v>7</v>
      </c>
      <c r="D3">
        <v>17102946</v>
      </c>
      <c r="E3">
        <v>0.97599999999999998</v>
      </c>
    </row>
    <row r="4" spans="1:5" x14ac:dyDescent="0.35">
      <c r="A4">
        <v>4</v>
      </c>
      <c r="B4" t="s">
        <v>5</v>
      </c>
      <c r="C4" t="s">
        <v>9</v>
      </c>
      <c r="D4">
        <v>88773979.999999985</v>
      </c>
      <c r="E4">
        <v>0.96099999999999997</v>
      </c>
    </row>
    <row r="5" spans="1:5" x14ac:dyDescent="0.35">
      <c r="A5">
        <v>4</v>
      </c>
      <c r="B5" t="s">
        <v>5</v>
      </c>
      <c r="C5" t="s">
        <v>10</v>
      </c>
      <c r="D5">
        <v>54157133.000000007</v>
      </c>
      <c r="E5">
        <v>0.96099999999999997</v>
      </c>
    </row>
    <row r="6" spans="1:5" x14ac:dyDescent="0.35">
      <c r="A6">
        <v>4</v>
      </c>
      <c r="B6" t="s">
        <v>15</v>
      </c>
      <c r="C6" t="s">
        <v>9</v>
      </c>
      <c r="D6">
        <v>125000</v>
      </c>
      <c r="E6">
        <v>1</v>
      </c>
    </row>
    <row r="7" spans="1:5" x14ac:dyDescent="0.35">
      <c r="A7">
        <v>4</v>
      </c>
      <c r="B7" t="s">
        <v>16</v>
      </c>
      <c r="C7" t="s">
        <v>10</v>
      </c>
      <c r="D7">
        <v>5652995.7424999997</v>
      </c>
      <c r="E7">
        <v>0.9</v>
      </c>
    </row>
    <row r="8" spans="1:5" x14ac:dyDescent="0.35">
      <c r="A8">
        <v>4</v>
      </c>
      <c r="B8" t="s">
        <v>19</v>
      </c>
      <c r="C8" t="s">
        <v>9</v>
      </c>
      <c r="D8">
        <v>3225000</v>
      </c>
      <c r="E8">
        <v>1</v>
      </c>
    </row>
    <row r="9" spans="1:5" x14ac:dyDescent="0.35">
      <c r="A9">
        <v>4</v>
      </c>
      <c r="B9" t="s">
        <v>22</v>
      </c>
      <c r="C9" t="s">
        <v>23</v>
      </c>
      <c r="D9">
        <v>7590250</v>
      </c>
      <c r="E9">
        <v>1</v>
      </c>
    </row>
    <row r="10" spans="1:5" x14ac:dyDescent="0.35">
      <c r="A10">
        <v>4</v>
      </c>
      <c r="B10" t="s">
        <v>28</v>
      </c>
      <c r="C10" t="s">
        <v>10</v>
      </c>
      <c r="D10">
        <v>10844925</v>
      </c>
      <c r="E10">
        <v>0.95</v>
      </c>
    </row>
    <row r="11" spans="1:5" x14ac:dyDescent="0.35">
      <c r="A11">
        <v>4</v>
      </c>
      <c r="B11" t="s">
        <v>32</v>
      </c>
      <c r="C11" t="s">
        <v>23</v>
      </c>
      <c r="D11">
        <v>533617732</v>
      </c>
      <c r="E11">
        <v>0.99807288016818507</v>
      </c>
    </row>
    <row r="12" spans="1:5" x14ac:dyDescent="0.35">
      <c r="A12">
        <v>4</v>
      </c>
      <c r="B12" t="s">
        <v>32</v>
      </c>
      <c r="C12" t="s">
        <v>33</v>
      </c>
      <c r="D12">
        <v>101097240</v>
      </c>
      <c r="E12">
        <v>0.97774566473988445</v>
      </c>
    </row>
    <row r="13" spans="1:5" x14ac:dyDescent="0.35">
      <c r="A13">
        <v>5</v>
      </c>
      <c r="B13" t="s">
        <v>5</v>
      </c>
      <c r="C13" t="s">
        <v>9</v>
      </c>
      <c r="D13">
        <v>104394309</v>
      </c>
      <c r="E13">
        <v>0.98199999999999998</v>
      </c>
    </row>
    <row r="14" spans="1:5" x14ac:dyDescent="0.35">
      <c r="A14">
        <v>5</v>
      </c>
      <c r="B14" t="s">
        <v>5</v>
      </c>
      <c r="C14" t="s">
        <v>10</v>
      </c>
      <c r="D14">
        <v>49301274</v>
      </c>
      <c r="E14">
        <v>0.93600000000000005</v>
      </c>
    </row>
    <row r="15" spans="1:5" x14ac:dyDescent="0.35">
      <c r="A15">
        <v>5</v>
      </c>
      <c r="B15" t="s">
        <v>12</v>
      </c>
      <c r="C15" t="s">
        <v>10</v>
      </c>
      <c r="D15">
        <v>1207000</v>
      </c>
      <c r="E15">
        <v>0.875</v>
      </c>
    </row>
    <row r="16" spans="1:5" x14ac:dyDescent="0.35">
      <c r="A16">
        <v>5</v>
      </c>
      <c r="B16" t="s">
        <v>12</v>
      </c>
      <c r="C16" t="s">
        <v>9</v>
      </c>
      <c r="D16">
        <v>1245000</v>
      </c>
      <c r="E16">
        <v>0.55000000000000004</v>
      </c>
    </row>
    <row r="17" spans="1:5" x14ac:dyDescent="0.35">
      <c r="A17">
        <v>5</v>
      </c>
      <c r="B17" t="s">
        <v>16</v>
      </c>
      <c r="C17" t="s">
        <v>10</v>
      </c>
      <c r="D17">
        <v>4879320.3125</v>
      </c>
      <c r="E17">
        <v>0.98750000000000004</v>
      </c>
    </row>
    <row r="18" spans="1:5" x14ac:dyDescent="0.35">
      <c r="A18">
        <v>5</v>
      </c>
      <c r="B18" t="s">
        <v>19</v>
      </c>
      <c r="C18" t="s">
        <v>9</v>
      </c>
      <c r="D18">
        <v>26617485</v>
      </c>
      <c r="E18">
        <v>1</v>
      </c>
    </row>
    <row r="19" spans="1:5" x14ac:dyDescent="0.35">
      <c r="A19">
        <v>5</v>
      </c>
      <c r="B19" t="s">
        <v>28</v>
      </c>
      <c r="C19" t="s">
        <v>10</v>
      </c>
      <c r="D19">
        <v>18032675.510280728</v>
      </c>
      <c r="E19">
        <v>0.96</v>
      </c>
    </row>
    <row r="20" spans="1:5" x14ac:dyDescent="0.35">
      <c r="A20">
        <v>5</v>
      </c>
      <c r="B20" t="s">
        <v>32</v>
      </c>
      <c r="C20" t="s">
        <v>23</v>
      </c>
      <c r="D20">
        <v>720863788</v>
      </c>
      <c r="E20">
        <v>0.99730964467005068</v>
      </c>
    </row>
    <row r="21" spans="1:5" x14ac:dyDescent="0.35">
      <c r="A21">
        <v>5</v>
      </c>
      <c r="B21" t="s">
        <v>32</v>
      </c>
      <c r="C21" t="s">
        <v>33</v>
      </c>
      <c r="D21">
        <v>157840620</v>
      </c>
      <c r="E21">
        <v>0.97743055555555547</v>
      </c>
    </row>
    <row r="22" spans="1:5" x14ac:dyDescent="0.35">
      <c r="A22">
        <v>6</v>
      </c>
      <c r="B22" t="s">
        <v>5</v>
      </c>
      <c r="C22" t="s">
        <v>9</v>
      </c>
      <c r="D22">
        <v>91285793</v>
      </c>
      <c r="E22">
        <v>0.98199999999999998</v>
      </c>
    </row>
    <row r="23" spans="1:5" x14ac:dyDescent="0.35">
      <c r="A23">
        <v>6</v>
      </c>
      <c r="B23" t="s">
        <v>5</v>
      </c>
      <c r="C23" t="s">
        <v>10</v>
      </c>
      <c r="D23">
        <v>24683575</v>
      </c>
      <c r="E23">
        <v>0.96099999999999997</v>
      </c>
    </row>
    <row r="24" spans="1:5" x14ac:dyDescent="0.35">
      <c r="A24">
        <v>6</v>
      </c>
      <c r="B24" t="s">
        <v>12</v>
      </c>
      <c r="C24" t="s">
        <v>10</v>
      </c>
      <c r="D24">
        <v>577800</v>
      </c>
      <c r="E24">
        <v>0.75</v>
      </c>
    </row>
    <row r="25" spans="1:5" x14ac:dyDescent="0.35">
      <c r="A25">
        <v>6</v>
      </c>
      <c r="B25" t="s">
        <v>16</v>
      </c>
      <c r="C25" t="s">
        <v>10</v>
      </c>
      <c r="D25">
        <v>3712934</v>
      </c>
      <c r="E25">
        <v>0.98570000000000002</v>
      </c>
    </row>
    <row r="26" spans="1:5" x14ac:dyDescent="0.35">
      <c r="A26">
        <v>6</v>
      </c>
      <c r="B26" t="s">
        <v>16</v>
      </c>
      <c r="C26" t="s">
        <v>9</v>
      </c>
      <c r="D26">
        <v>1728800</v>
      </c>
      <c r="E26">
        <v>0.98570000000000002</v>
      </c>
    </row>
    <row r="27" spans="1:5" x14ac:dyDescent="0.35">
      <c r="A27">
        <v>6</v>
      </c>
      <c r="B27" t="s">
        <v>19</v>
      </c>
      <c r="C27" t="s">
        <v>9</v>
      </c>
      <c r="D27">
        <v>12824102.5</v>
      </c>
      <c r="E27">
        <v>1</v>
      </c>
    </row>
    <row r="28" spans="1:5" x14ac:dyDescent="0.35">
      <c r="A28">
        <v>6</v>
      </c>
      <c r="B28" t="s">
        <v>22</v>
      </c>
      <c r="C28" t="s">
        <v>9</v>
      </c>
      <c r="D28">
        <v>58334100</v>
      </c>
      <c r="E28">
        <v>0.99829999999999997</v>
      </c>
    </row>
    <row r="29" spans="1:5" x14ac:dyDescent="0.35">
      <c r="A29">
        <v>6</v>
      </c>
      <c r="B29" t="s">
        <v>28</v>
      </c>
      <c r="C29" t="s">
        <v>10</v>
      </c>
      <c r="D29">
        <v>8491717.4592000004</v>
      </c>
      <c r="E29">
        <v>0.9425</v>
      </c>
    </row>
    <row r="30" spans="1:5" x14ac:dyDescent="0.35">
      <c r="A30">
        <v>6</v>
      </c>
      <c r="B30" t="s">
        <v>28</v>
      </c>
      <c r="C30" t="s">
        <v>9</v>
      </c>
      <c r="D30">
        <v>8257541.666666667</v>
      </c>
      <c r="E30">
        <v>0.97499999999999998</v>
      </c>
    </row>
    <row r="31" spans="1:5" x14ac:dyDescent="0.35">
      <c r="A31">
        <v>6</v>
      </c>
      <c r="B31" t="s">
        <v>32</v>
      </c>
      <c r="C31" t="s">
        <v>23</v>
      </c>
      <c r="D31">
        <v>654225622</v>
      </c>
      <c r="E31">
        <v>0.99719999999999998</v>
      </c>
    </row>
    <row r="32" spans="1:5" x14ac:dyDescent="0.35">
      <c r="A32">
        <v>6</v>
      </c>
      <c r="B32" t="s">
        <v>32</v>
      </c>
      <c r="C32" t="s">
        <v>33</v>
      </c>
      <c r="D32">
        <v>157493040</v>
      </c>
      <c r="E32">
        <v>0.97840000000000005</v>
      </c>
    </row>
  </sheetData>
  <phoneticPr fontId="1" type="noConversion"/>
  <pageMargins left="0.7" right="0.7" top="0.75" bottom="0.75" header="0.3" footer="0.3"/>
  <drawing r:id="rId1"/>
  <tableParts count="1">
    <tablePart r:id="rId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D460B5-36B8-4CC1-A8CC-E6510ED0BE91}">
  <sheetPr codeName="Sheet2"/>
  <dimension ref="A1:E6"/>
  <sheetViews>
    <sheetView workbookViewId="0">
      <selection activeCell="G10" sqref="G10"/>
    </sheetView>
  </sheetViews>
  <sheetFormatPr defaultRowHeight="14.5" x14ac:dyDescent="0.35"/>
  <cols>
    <col min="1" max="1" width="8.54296875" bestFit="1" customWidth="1"/>
    <col min="2" max="2" width="12.1796875" bestFit="1" customWidth="1"/>
    <col min="3" max="3" width="17.81640625" bestFit="1" customWidth="1"/>
    <col min="4" max="4" width="13.81640625" bestFit="1" customWidth="1"/>
    <col min="5" max="5" width="10.26953125" bestFit="1" customWidth="1"/>
    <col min="6" max="6" width="43.81640625" bestFit="1" customWidth="1"/>
    <col min="7" max="7" width="12" bestFit="1" customWidth="1"/>
    <col min="8" max="8" width="11.1796875" bestFit="1" customWidth="1"/>
    <col min="9" max="9" width="12" bestFit="1" customWidth="1"/>
    <col min="10" max="10" width="11.7265625" bestFit="1" customWidth="1"/>
    <col min="11" max="11" width="11.1796875" bestFit="1" customWidth="1"/>
    <col min="12" max="13" width="12.1796875" bestFit="1" customWidth="1"/>
    <col min="14" max="14" width="12" bestFit="1" customWidth="1"/>
    <col min="15" max="17" width="12.1796875" bestFit="1" customWidth="1"/>
    <col min="18" max="18" width="11.7265625" bestFit="1" customWidth="1"/>
    <col min="19" max="21" width="12.1796875" bestFit="1" customWidth="1"/>
    <col min="22" max="22" width="81.1796875" bestFit="1" customWidth="1"/>
    <col min="23" max="23" width="74.81640625" bestFit="1" customWidth="1"/>
    <col min="24" max="24" width="12.1796875" bestFit="1" customWidth="1"/>
    <col min="25" max="25" width="81.1796875" bestFit="1" customWidth="1"/>
    <col min="26" max="29" width="12.1796875" bestFit="1" customWidth="1"/>
  </cols>
  <sheetData>
    <row r="1" spans="1:5" x14ac:dyDescent="0.35">
      <c r="A1" t="s">
        <v>0</v>
      </c>
      <c r="B1" t="s">
        <v>1</v>
      </c>
      <c r="C1" t="s">
        <v>2</v>
      </c>
      <c r="D1" t="s">
        <v>37</v>
      </c>
      <c r="E1" t="s">
        <v>3</v>
      </c>
    </row>
    <row r="2" spans="1:5" x14ac:dyDescent="0.35">
      <c r="A2">
        <v>4</v>
      </c>
      <c r="B2" t="s">
        <v>28</v>
      </c>
      <c r="C2" t="s">
        <v>30</v>
      </c>
      <c r="D2">
        <v>111267500</v>
      </c>
      <c r="E2">
        <v>0.94299999999999995</v>
      </c>
    </row>
    <row r="3" spans="1:5" x14ac:dyDescent="0.35">
      <c r="A3">
        <v>4</v>
      </c>
      <c r="B3" t="s">
        <v>32</v>
      </c>
      <c r="C3" t="s">
        <v>30</v>
      </c>
      <c r="D3">
        <v>3240000</v>
      </c>
      <c r="E3">
        <v>1</v>
      </c>
    </row>
    <row r="4" spans="1:5" x14ac:dyDescent="0.35">
      <c r="A4">
        <v>5</v>
      </c>
      <c r="B4" t="s">
        <v>28</v>
      </c>
      <c r="C4" t="s">
        <v>30</v>
      </c>
      <c r="D4">
        <v>36185000</v>
      </c>
      <c r="E4">
        <v>0.95399999999999996</v>
      </c>
    </row>
    <row r="5" spans="1:5" x14ac:dyDescent="0.35">
      <c r="A5">
        <v>5</v>
      </c>
      <c r="B5" t="s">
        <v>32</v>
      </c>
      <c r="C5" t="s">
        <v>30</v>
      </c>
      <c r="D5">
        <v>2700000</v>
      </c>
      <c r="E5">
        <v>1</v>
      </c>
    </row>
    <row r="6" spans="1:5" x14ac:dyDescent="0.35">
      <c r="A6">
        <v>6</v>
      </c>
      <c r="B6" t="s">
        <v>28</v>
      </c>
      <c r="C6" t="s">
        <v>30</v>
      </c>
      <c r="D6">
        <v>51181500</v>
      </c>
      <c r="E6">
        <v>0.95799999999999996</v>
      </c>
    </row>
  </sheetData>
  <phoneticPr fontId="1" type="noConversion"/>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9651F8-AC22-4374-8068-5F90FD4DFEB5}">
  <sheetPr codeName="Sheet3"/>
  <dimension ref="A1:E25"/>
  <sheetViews>
    <sheetView workbookViewId="0">
      <selection activeCell="G10" sqref="G10"/>
    </sheetView>
  </sheetViews>
  <sheetFormatPr defaultRowHeight="14.5" x14ac:dyDescent="0.35"/>
  <cols>
    <col min="1" max="1" width="8.54296875" bestFit="1" customWidth="1"/>
    <col min="2" max="2" width="12.1796875" bestFit="1" customWidth="1"/>
    <col min="3" max="3" width="17.7265625" bestFit="1" customWidth="1"/>
    <col min="4" max="4" width="15.26953125" bestFit="1" customWidth="1"/>
    <col min="5" max="5" width="9.54296875" bestFit="1" customWidth="1"/>
    <col min="6" max="6" width="10" bestFit="1" customWidth="1"/>
    <col min="7" max="7" width="43.81640625" bestFit="1" customWidth="1"/>
    <col min="8" max="8" width="12" bestFit="1" customWidth="1"/>
    <col min="9" max="9" width="11.1796875" bestFit="1" customWidth="1"/>
    <col min="10" max="10" width="12" bestFit="1" customWidth="1"/>
    <col min="11" max="11" width="11.7265625" bestFit="1" customWidth="1"/>
    <col min="12" max="12" width="11.1796875" bestFit="1" customWidth="1"/>
    <col min="13" max="14" width="12.1796875" bestFit="1" customWidth="1"/>
    <col min="15" max="15" width="12" bestFit="1" customWidth="1"/>
    <col min="16" max="18" width="12.1796875" bestFit="1" customWidth="1"/>
    <col min="19" max="19" width="11.7265625" bestFit="1" customWidth="1"/>
    <col min="20" max="22" width="12.1796875" bestFit="1" customWidth="1"/>
    <col min="23" max="23" width="81.1796875" bestFit="1" customWidth="1"/>
    <col min="24" max="24" width="74.81640625" bestFit="1" customWidth="1"/>
    <col min="25" max="25" width="12.1796875" bestFit="1" customWidth="1"/>
    <col min="26" max="26" width="81.1796875" bestFit="1" customWidth="1"/>
    <col min="27" max="30" width="12.1796875" bestFit="1" customWidth="1"/>
  </cols>
  <sheetData>
    <row r="1" spans="1:5" x14ac:dyDescent="0.35">
      <c r="A1" t="s">
        <v>0</v>
      </c>
      <c r="B1" t="s">
        <v>1</v>
      </c>
      <c r="C1" t="s">
        <v>2</v>
      </c>
      <c r="D1" t="s">
        <v>38</v>
      </c>
      <c r="E1" t="s">
        <v>39</v>
      </c>
    </row>
    <row r="2" spans="1:5" x14ac:dyDescent="0.35">
      <c r="A2">
        <v>4</v>
      </c>
      <c r="B2" t="s">
        <v>5</v>
      </c>
      <c r="C2" t="s">
        <v>7</v>
      </c>
      <c r="D2" s="21">
        <v>15671000</v>
      </c>
      <c r="E2">
        <v>1</v>
      </c>
    </row>
    <row r="3" spans="1:5" x14ac:dyDescent="0.35">
      <c r="A3">
        <v>4</v>
      </c>
      <c r="B3" t="s">
        <v>5</v>
      </c>
      <c r="C3" t="s">
        <v>31</v>
      </c>
      <c r="D3" s="21">
        <v>21905000</v>
      </c>
      <c r="E3">
        <v>1</v>
      </c>
    </row>
    <row r="4" spans="1:5" x14ac:dyDescent="0.35">
      <c r="A4">
        <v>4</v>
      </c>
      <c r="B4" t="s">
        <v>22</v>
      </c>
      <c r="C4" t="s">
        <v>11</v>
      </c>
      <c r="D4" s="21">
        <v>221062000</v>
      </c>
      <c r="E4">
        <v>0.98</v>
      </c>
    </row>
    <row r="5" spans="1:5" x14ac:dyDescent="0.35">
      <c r="A5">
        <v>4</v>
      </c>
      <c r="B5" t="s">
        <v>28</v>
      </c>
      <c r="C5" t="s">
        <v>18</v>
      </c>
      <c r="D5" s="21">
        <v>133350000</v>
      </c>
      <c r="E5">
        <v>1</v>
      </c>
    </row>
    <row r="6" spans="1:5" x14ac:dyDescent="0.35">
      <c r="A6">
        <v>4</v>
      </c>
      <c r="B6" t="s">
        <v>28</v>
      </c>
      <c r="C6" t="s">
        <v>27</v>
      </c>
      <c r="D6" s="21">
        <v>120660000</v>
      </c>
      <c r="E6">
        <v>1</v>
      </c>
    </row>
    <row r="7" spans="1:5" x14ac:dyDescent="0.35">
      <c r="A7">
        <v>4</v>
      </c>
      <c r="B7" t="s">
        <v>28</v>
      </c>
      <c r="C7" t="s">
        <v>20</v>
      </c>
      <c r="D7" s="21">
        <v>66148000</v>
      </c>
      <c r="E7">
        <v>1</v>
      </c>
    </row>
    <row r="8" spans="1:5" x14ac:dyDescent="0.35">
      <c r="A8">
        <v>4</v>
      </c>
      <c r="B8" t="s">
        <v>28</v>
      </c>
      <c r="C8" t="s">
        <v>31</v>
      </c>
      <c r="D8" s="21">
        <v>321152282.81868291</v>
      </c>
      <c r="E8">
        <v>0.98</v>
      </c>
    </row>
    <row r="9" spans="1:5" x14ac:dyDescent="0.35">
      <c r="A9">
        <v>4</v>
      </c>
      <c r="B9" t="s">
        <v>28</v>
      </c>
      <c r="C9" t="s">
        <v>11</v>
      </c>
      <c r="D9" s="21">
        <v>116698000</v>
      </c>
      <c r="E9">
        <v>1</v>
      </c>
    </row>
    <row r="10" spans="1:5" x14ac:dyDescent="0.35">
      <c r="A10">
        <v>5</v>
      </c>
      <c r="B10" t="s">
        <v>5</v>
      </c>
      <c r="C10" t="s">
        <v>6</v>
      </c>
      <c r="D10" s="21">
        <v>12909000</v>
      </c>
      <c r="E10">
        <v>0.93799999999999994</v>
      </c>
    </row>
    <row r="11" spans="1:5" x14ac:dyDescent="0.35">
      <c r="A11">
        <v>5</v>
      </c>
      <c r="B11" t="s">
        <v>5</v>
      </c>
      <c r="C11" t="s">
        <v>8</v>
      </c>
      <c r="D11" s="21">
        <v>18732000</v>
      </c>
      <c r="E11">
        <v>0.9</v>
      </c>
    </row>
    <row r="12" spans="1:5" x14ac:dyDescent="0.35">
      <c r="A12">
        <v>5</v>
      </c>
      <c r="B12" t="s">
        <v>5</v>
      </c>
      <c r="C12" t="s">
        <v>11</v>
      </c>
      <c r="D12" s="21">
        <v>55266000</v>
      </c>
      <c r="E12">
        <v>1</v>
      </c>
    </row>
    <row r="13" spans="1:5" x14ac:dyDescent="0.35">
      <c r="A13">
        <v>5</v>
      </c>
      <c r="B13" t="s">
        <v>22</v>
      </c>
      <c r="C13" t="s">
        <v>11</v>
      </c>
      <c r="D13" s="21">
        <v>360541000</v>
      </c>
      <c r="E13">
        <v>0.95</v>
      </c>
    </row>
    <row r="14" spans="1:5" x14ac:dyDescent="0.35">
      <c r="A14">
        <v>5</v>
      </c>
      <c r="B14" t="s">
        <v>28</v>
      </c>
      <c r="C14" t="s">
        <v>18</v>
      </c>
      <c r="D14" s="21">
        <v>113838000</v>
      </c>
      <c r="E14">
        <v>0.97270000000000001</v>
      </c>
    </row>
    <row r="15" spans="1:5" x14ac:dyDescent="0.35">
      <c r="A15">
        <v>5</v>
      </c>
      <c r="B15" t="s">
        <v>28</v>
      </c>
      <c r="C15" t="s">
        <v>27</v>
      </c>
      <c r="D15" s="21">
        <v>108036500</v>
      </c>
      <c r="E15">
        <v>0.94550000000000001</v>
      </c>
    </row>
    <row r="16" spans="1:5" x14ac:dyDescent="0.35">
      <c r="A16">
        <v>5</v>
      </c>
      <c r="B16" t="s">
        <v>28</v>
      </c>
      <c r="C16" t="s">
        <v>20</v>
      </c>
      <c r="D16" s="21">
        <v>80528000</v>
      </c>
      <c r="E16">
        <v>1</v>
      </c>
    </row>
    <row r="17" spans="1:5" x14ac:dyDescent="0.35">
      <c r="A17">
        <v>5</v>
      </c>
      <c r="B17" t="s">
        <v>28</v>
      </c>
      <c r="C17" t="s">
        <v>31</v>
      </c>
      <c r="D17" s="21">
        <v>184315215.50957605</v>
      </c>
      <c r="E17">
        <v>0.93300000000000005</v>
      </c>
    </row>
    <row r="18" spans="1:5" x14ac:dyDescent="0.35">
      <c r="A18">
        <v>5</v>
      </c>
      <c r="B18" t="s">
        <v>28</v>
      </c>
      <c r="C18" t="s">
        <v>11</v>
      </c>
      <c r="D18" s="21">
        <v>145003000</v>
      </c>
      <c r="E18">
        <v>1</v>
      </c>
    </row>
    <row r="19" spans="1:5" x14ac:dyDescent="0.35">
      <c r="A19">
        <v>6</v>
      </c>
      <c r="B19" t="s">
        <v>5</v>
      </c>
      <c r="C19" t="s">
        <v>11</v>
      </c>
      <c r="D19" s="21">
        <v>16948000</v>
      </c>
      <c r="E19">
        <v>1</v>
      </c>
    </row>
    <row r="20" spans="1:5" x14ac:dyDescent="0.35">
      <c r="A20">
        <v>6</v>
      </c>
      <c r="B20" t="s">
        <v>22</v>
      </c>
      <c r="C20" t="s">
        <v>11</v>
      </c>
      <c r="D20" s="21">
        <v>84714000</v>
      </c>
      <c r="E20">
        <v>1</v>
      </c>
    </row>
    <row r="21" spans="1:5" x14ac:dyDescent="0.35">
      <c r="A21">
        <v>6</v>
      </c>
      <c r="B21" t="s">
        <v>28</v>
      </c>
      <c r="C21" t="s">
        <v>18</v>
      </c>
      <c r="D21" s="21">
        <v>82635500</v>
      </c>
      <c r="E21">
        <v>1</v>
      </c>
    </row>
    <row r="22" spans="1:5" x14ac:dyDescent="0.35">
      <c r="A22">
        <v>6</v>
      </c>
      <c r="B22" t="s">
        <v>28</v>
      </c>
      <c r="C22" t="s">
        <v>27</v>
      </c>
      <c r="D22" s="21">
        <v>69368000</v>
      </c>
      <c r="E22">
        <v>1</v>
      </c>
    </row>
    <row r="23" spans="1:5" x14ac:dyDescent="0.35">
      <c r="A23">
        <v>6</v>
      </c>
      <c r="B23" t="s">
        <v>28</v>
      </c>
      <c r="C23" t="s">
        <v>20</v>
      </c>
      <c r="D23" s="21">
        <v>61458000</v>
      </c>
      <c r="E23">
        <v>1</v>
      </c>
    </row>
    <row r="24" spans="1:5" x14ac:dyDescent="0.35">
      <c r="A24">
        <v>6</v>
      </c>
      <c r="B24" t="s">
        <v>28</v>
      </c>
      <c r="C24" t="s">
        <v>31</v>
      </c>
      <c r="D24" s="21">
        <v>130207472.097956</v>
      </c>
      <c r="E24">
        <v>1</v>
      </c>
    </row>
    <row r="25" spans="1:5" x14ac:dyDescent="0.35">
      <c r="A25">
        <v>6</v>
      </c>
      <c r="B25" t="s">
        <v>28</v>
      </c>
      <c r="C25" t="s">
        <v>11</v>
      </c>
      <c r="D25" s="21">
        <v>125003000</v>
      </c>
      <c r="E25">
        <v>1</v>
      </c>
    </row>
  </sheetData>
  <phoneticPr fontId="1" type="noConversion"/>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9F6028-D699-465C-B87F-E01BD5DF1C5F}">
  <sheetPr codeName="Sheet4"/>
  <dimension ref="A1:E58"/>
  <sheetViews>
    <sheetView workbookViewId="0">
      <selection activeCell="G10" sqref="G10"/>
    </sheetView>
  </sheetViews>
  <sheetFormatPr defaultRowHeight="14.5" x14ac:dyDescent="0.35"/>
  <cols>
    <col min="1" max="1" width="8.54296875" bestFit="1" customWidth="1"/>
    <col min="2" max="2" width="12.1796875" bestFit="1" customWidth="1"/>
    <col min="3" max="3" width="17.7265625" bestFit="1" customWidth="1"/>
    <col min="4" max="4" width="15.453125" bestFit="1" customWidth="1"/>
    <col min="5" max="5" width="11.54296875" bestFit="1" customWidth="1"/>
    <col min="6" max="6" width="22" bestFit="1" customWidth="1"/>
    <col min="7" max="7" width="20.453125" bestFit="1" customWidth="1"/>
    <col min="8" max="8" width="13.26953125" bestFit="1" customWidth="1"/>
    <col min="9" max="9" width="13.453125" bestFit="1" customWidth="1"/>
    <col min="10" max="10" width="18.81640625" bestFit="1" customWidth="1"/>
    <col min="11" max="11" width="16.81640625" bestFit="1" customWidth="1"/>
    <col min="12" max="12" width="10.26953125" bestFit="1" customWidth="1"/>
    <col min="13" max="13" width="12" bestFit="1" customWidth="1"/>
    <col min="14" max="14" width="81.1796875" bestFit="1" customWidth="1"/>
    <col min="15" max="15" width="74.81640625" bestFit="1" customWidth="1"/>
    <col min="16" max="16" width="14.81640625" bestFit="1" customWidth="1"/>
    <col min="17" max="17" width="81.1796875" bestFit="1" customWidth="1"/>
    <col min="18" max="18" width="74.81640625" bestFit="1" customWidth="1"/>
    <col min="19" max="19" width="14.81640625" bestFit="1" customWidth="1"/>
    <col min="20" max="20" width="53" bestFit="1" customWidth="1"/>
    <col min="21" max="21" width="60.7265625" bestFit="1" customWidth="1"/>
    <col min="22" max="22" width="22.26953125" bestFit="1" customWidth="1"/>
    <col min="23" max="23" width="7.26953125" bestFit="1" customWidth="1"/>
  </cols>
  <sheetData>
    <row r="1" spans="1:5" x14ac:dyDescent="0.35">
      <c r="A1" t="s">
        <v>0</v>
      </c>
      <c r="B1" t="s">
        <v>1</v>
      </c>
      <c r="C1" t="s">
        <v>2</v>
      </c>
      <c r="D1" t="s">
        <v>34</v>
      </c>
      <c r="E1" t="s">
        <v>35</v>
      </c>
    </row>
    <row r="2" spans="1:5" x14ac:dyDescent="0.35">
      <c r="A2">
        <v>4</v>
      </c>
      <c r="B2" t="s">
        <v>5</v>
      </c>
      <c r="C2" t="s">
        <v>6</v>
      </c>
      <c r="D2">
        <v>157806245</v>
      </c>
      <c r="E2">
        <v>0.95599999999999996</v>
      </c>
    </row>
    <row r="3" spans="1:5" x14ac:dyDescent="0.35">
      <c r="A3">
        <v>4</v>
      </c>
      <c r="B3" t="s">
        <v>5</v>
      </c>
      <c r="C3" t="s">
        <v>7</v>
      </c>
      <c r="D3">
        <v>161848046.00000021</v>
      </c>
      <c r="E3">
        <v>0.97599999999999998</v>
      </c>
    </row>
    <row r="4" spans="1:5" x14ac:dyDescent="0.35">
      <c r="A4">
        <v>4</v>
      </c>
      <c r="B4" t="s">
        <v>5</v>
      </c>
      <c r="C4" t="s">
        <v>8</v>
      </c>
      <c r="D4">
        <v>70663389.999999985</v>
      </c>
      <c r="E4">
        <v>0.91800000000000004</v>
      </c>
    </row>
    <row r="5" spans="1:5" x14ac:dyDescent="0.35">
      <c r="A5">
        <v>4</v>
      </c>
      <c r="B5" t="s">
        <v>12</v>
      </c>
      <c r="C5" t="s">
        <v>13</v>
      </c>
      <c r="D5">
        <v>135657181.81818181</v>
      </c>
      <c r="E5">
        <v>0.95899999999999996</v>
      </c>
    </row>
    <row r="6" spans="1:5" x14ac:dyDescent="0.35">
      <c r="A6">
        <v>4</v>
      </c>
      <c r="B6" t="s">
        <v>12</v>
      </c>
      <c r="C6" t="s">
        <v>14</v>
      </c>
      <c r="D6">
        <v>90524999.999999955</v>
      </c>
      <c r="E6">
        <v>0.96599999999999997</v>
      </c>
    </row>
    <row r="7" spans="1:5" x14ac:dyDescent="0.35">
      <c r="A7">
        <v>4</v>
      </c>
      <c r="B7" t="s">
        <v>15</v>
      </c>
      <c r="C7" t="s">
        <v>11</v>
      </c>
      <c r="D7">
        <v>61396000</v>
      </c>
      <c r="E7">
        <v>0.97</v>
      </c>
    </row>
    <row r="8" spans="1:5" x14ac:dyDescent="0.35">
      <c r="A8">
        <v>4</v>
      </c>
      <c r="B8" t="s">
        <v>16</v>
      </c>
      <c r="C8" t="s">
        <v>17</v>
      </c>
      <c r="D8">
        <v>88336015</v>
      </c>
      <c r="E8">
        <v>0.95399999999999996</v>
      </c>
    </row>
    <row r="9" spans="1:5" x14ac:dyDescent="0.35">
      <c r="A9">
        <v>4</v>
      </c>
      <c r="B9" t="s">
        <v>16</v>
      </c>
      <c r="C9" t="s">
        <v>18</v>
      </c>
      <c r="D9">
        <v>29127085</v>
      </c>
      <c r="E9">
        <v>0.96740000000000004</v>
      </c>
    </row>
    <row r="10" spans="1:5" x14ac:dyDescent="0.35">
      <c r="A10">
        <v>4</v>
      </c>
      <c r="B10" t="s">
        <v>19</v>
      </c>
      <c r="C10" t="s">
        <v>20</v>
      </c>
      <c r="D10">
        <v>424531000</v>
      </c>
      <c r="E10">
        <v>0.96860000000000002</v>
      </c>
    </row>
    <row r="11" spans="1:5" x14ac:dyDescent="0.35">
      <c r="A11">
        <v>4</v>
      </c>
      <c r="B11" t="s">
        <v>19</v>
      </c>
      <c r="C11" t="s">
        <v>9</v>
      </c>
      <c r="D11">
        <v>24281000</v>
      </c>
      <c r="E11">
        <v>0.97299999999999998</v>
      </c>
    </row>
    <row r="12" spans="1:5" x14ac:dyDescent="0.35">
      <c r="A12">
        <v>4</v>
      </c>
      <c r="B12" t="s">
        <v>19</v>
      </c>
      <c r="C12" t="s">
        <v>21</v>
      </c>
      <c r="D12">
        <v>95212000</v>
      </c>
      <c r="E12">
        <v>0.96499999999999997</v>
      </c>
    </row>
    <row r="13" spans="1:5" x14ac:dyDescent="0.35">
      <c r="A13">
        <v>4</v>
      </c>
      <c r="B13" t="s">
        <v>22</v>
      </c>
      <c r="C13" t="s">
        <v>24</v>
      </c>
      <c r="D13">
        <v>571774677.81019998</v>
      </c>
      <c r="E13">
        <v>0.95</v>
      </c>
    </row>
    <row r="14" spans="1:5" x14ac:dyDescent="0.35">
      <c r="A14">
        <v>4</v>
      </c>
      <c r="B14" t="s">
        <v>22</v>
      </c>
      <c r="C14" t="s">
        <v>25</v>
      </c>
      <c r="D14">
        <v>354165312.75296402</v>
      </c>
      <c r="E14">
        <v>0.95499999999999996</v>
      </c>
    </row>
    <row r="15" spans="1:5" x14ac:dyDescent="0.35">
      <c r="A15">
        <v>4</v>
      </c>
      <c r="B15" t="s">
        <v>22</v>
      </c>
      <c r="C15" t="s">
        <v>26</v>
      </c>
      <c r="D15">
        <v>471228853.38867199</v>
      </c>
      <c r="E15">
        <v>0.96499999999999997</v>
      </c>
    </row>
    <row r="16" spans="1:5" x14ac:dyDescent="0.35">
      <c r="A16">
        <v>4</v>
      </c>
      <c r="B16" t="s">
        <v>22</v>
      </c>
      <c r="C16" t="s">
        <v>27</v>
      </c>
      <c r="D16">
        <v>493319608.49521601</v>
      </c>
      <c r="E16">
        <v>0.95699999999999996</v>
      </c>
    </row>
    <row r="17" spans="1:5" x14ac:dyDescent="0.35">
      <c r="A17">
        <v>4</v>
      </c>
      <c r="B17" t="s">
        <v>28</v>
      </c>
      <c r="C17" t="s">
        <v>18</v>
      </c>
      <c r="D17">
        <v>270234544</v>
      </c>
      <c r="E17">
        <v>0.96299999999999997</v>
      </c>
    </row>
    <row r="18" spans="1:5" x14ac:dyDescent="0.35">
      <c r="A18">
        <v>4</v>
      </c>
      <c r="B18" t="s">
        <v>28</v>
      </c>
      <c r="C18" t="s">
        <v>27</v>
      </c>
      <c r="D18">
        <v>383581896.61881</v>
      </c>
      <c r="E18">
        <v>0.95</v>
      </c>
    </row>
    <row r="19" spans="1:5" x14ac:dyDescent="0.35">
      <c r="A19">
        <v>4</v>
      </c>
      <c r="B19" t="s">
        <v>28</v>
      </c>
      <c r="C19" t="s">
        <v>20</v>
      </c>
      <c r="D19">
        <v>389547228</v>
      </c>
      <c r="E19">
        <v>0.95799999999999996</v>
      </c>
    </row>
    <row r="20" spans="1:5" x14ac:dyDescent="0.35">
      <c r="A20">
        <v>4</v>
      </c>
      <c r="B20" t="s">
        <v>28</v>
      </c>
      <c r="C20" t="s">
        <v>29</v>
      </c>
      <c r="D20">
        <v>471613900</v>
      </c>
      <c r="E20">
        <v>0.96299999999999997</v>
      </c>
    </row>
    <row r="21" spans="1:5" x14ac:dyDescent="0.35">
      <c r="A21">
        <v>5</v>
      </c>
      <c r="B21" t="s">
        <v>5</v>
      </c>
      <c r="C21" t="s">
        <v>6</v>
      </c>
      <c r="D21">
        <v>174336975.00000021</v>
      </c>
      <c r="E21">
        <v>0.93799999999999994</v>
      </c>
    </row>
    <row r="22" spans="1:5" x14ac:dyDescent="0.35">
      <c r="A22">
        <v>5</v>
      </c>
      <c r="B22" t="s">
        <v>5</v>
      </c>
      <c r="C22" t="s">
        <v>7</v>
      </c>
      <c r="D22">
        <v>261943474.99999985</v>
      </c>
      <c r="E22">
        <v>0.97699999999999998</v>
      </c>
    </row>
    <row r="23" spans="1:5" x14ac:dyDescent="0.35">
      <c r="A23">
        <v>5</v>
      </c>
      <c r="B23" t="s">
        <v>5</v>
      </c>
      <c r="C23" t="s">
        <v>8</v>
      </c>
      <c r="D23">
        <v>92675185</v>
      </c>
      <c r="E23">
        <v>0.9</v>
      </c>
    </row>
    <row r="24" spans="1:5" x14ac:dyDescent="0.35">
      <c r="A24">
        <v>5</v>
      </c>
      <c r="B24" t="s">
        <v>12</v>
      </c>
      <c r="C24" t="s">
        <v>13</v>
      </c>
      <c r="D24">
        <v>135657181.81818181</v>
      </c>
      <c r="E24">
        <v>0.96899999999999997</v>
      </c>
    </row>
    <row r="25" spans="1:5" x14ac:dyDescent="0.35">
      <c r="A25">
        <v>5</v>
      </c>
      <c r="B25" t="s">
        <v>12</v>
      </c>
      <c r="C25" t="s">
        <v>14</v>
      </c>
      <c r="D25">
        <v>90524999.999999955</v>
      </c>
      <c r="E25">
        <v>0.96699999999999997</v>
      </c>
    </row>
    <row r="26" spans="1:5" x14ac:dyDescent="0.35">
      <c r="A26">
        <v>5</v>
      </c>
      <c r="B26" t="s">
        <v>15</v>
      </c>
      <c r="C26" t="s">
        <v>11</v>
      </c>
      <c r="D26">
        <v>135512999.99999994</v>
      </c>
      <c r="E26">
        <v>0.96</v>
      </c>
    </row>
    <row r="27" spans="1:5" x14ac:dyDescent="0.35">
      <c r="A27">
        <v>5</v>
      </c>
      <c r="B27" t="s">
        <v>16</v>
      </c>
      <c r="C27" t="s">
        <v>17</v>
      </c>
      <c r="D27">
        <v>111423645</v>
      </c>
      <c r="E27">
        <v>0.85899999999999999</v>
      </c>
    </row>
    <row r="28" spans="1:5" x14ac:dyDescent="0.35">
      <c r="A28">
        <v>5</v>
      </c>
      <c r="B28" t="s">
        <v>16</v>
      </c>
      <c r="C28" t="s">
        <v>18</v>
      </c>
      <c r="D28">
        <v>40685500</v>
      </c>
      <c r="E28">
        <v>0.95899999999999996</v>
      </c>
    </row>
    <row r="29" spans="1:5" x14ac:dyDescent="0.35">
      <c r="A29">
        <v>5</v>
      </c>
      <c r="B29" t="s">
        <v>19</v>
      </c>
      <c r="C29" t="s">
        <v>20</v>
      </c>
      <c r="D29">
        <v>376055000</v>
      </c>
      <c r="E29">
        <v>0.91400000000000003</v>
      </c>
    </row>
    <row r="30" spans="1:5" x14ac:dyDescent="0.35">
      <c r="A30">
        <v>5</v>
      </c>
      <c r="B30" t="s">
        <v>19</v>
      </c>
      <c r="C30" t="s">
        <v>9</v>
      </c>
      <c r="D30">
        <v>4255000</v>
      </c>
      <c r="E30">
        <v>0.95799999999999996</v>
      </c>
    </row>
    <row r="31" spans="1:5" x14ac:dyDescent="0.35">
      <c r="A31">
        <v>5</v>
      </c>
      <c r="B31" t="s">
        <v>19</v>
      </c>
      <c r="C31" t="s">
        <v>21</v>
      </c>
      <c r="D31">
        <v>119622000</v>
      </c>
      <c r="E31">
        <v>0.96099999999999997</v>
      </c>
    </row>
    <row r="32" spans="1:5" x14ac:dyDescent="0.35">
      <c r="A32">
        <v>5</v>
      </c>
      <c r="B32" t="s">
        <v>22</v>
      </c>
      <c r="C32" t="s">
        <v>24</v>
      </c>
      <c r="D32">
        <v>782294463.1207881</v>
      </c>
      <c r="E32">
        <v>0.95399999999999996</v>
      </c>
    </row>
    <row r="33" spans="1:5" x14ac:dyDescent="0.35">
      <c r="A33">
        <v>5</v>
      </c>
      <c r="B33" t="s">
        <v>22</v>
      </c>
      <c r="C33" t="s">
        <v>25</v>
      </c>
      <c r="D33">
        <v>453218571.66343999</v>
      </c>
      <c r="E33">
        <v>0.95399999999999996</v>
      </c>
    </row>
    <row r="34" spans="1:5" x14ac:dyDescent="0.35">
      <c r="A34">
        <v>5</v>
      </c>
      <c r="B34" t="s">
        <v>22</v>
      </c>
      <c r="C34" t="s">
        <v>26</v>
      </c>
      <c r="D34">
        <v>664464541.09267199</v>
      </c>
      <c r="E34">
        <v>0.95499999999999996</v>
      </c>
    </row>
    <row r="35" spans="1:5" x14ac:dyDescent="0.35">
      <c r="A35">
        <v>5</v>
      </c>
      <c r="B35" t="s">
        <v>22</v>
      </c>
      <c r="C35" t="s">
        <v>27</v>
      </c>
      <c r="D35">
        <v>596938875.73059201</v>
      </c>
      <c r="E35">
        <v>0.95699999999999996</v>
      </c>
    </row>
    <row r="36" spans="1:5" x14ac:dyDescent="0.35">
      <c r="A36">
        <v>5</v>
      </c>
      <c r="B36" t="s">
        <v>28</v>
      </c>
      <c r="C36" t="s">
        <v>18</v>
      </c>
      <c r="D36">
        <v>326570046</v>
      </c>
      <c r="E36">
        <v>0.95499999999999996</v>
      </c>
    </row>
    <row r="37" spans="1:5" x14ac:dyDescent="0.35">
      <c r="A37">
        <v>5</v>
      </c>
      <c r="B37" t="s">
        <v>28</v>
      </c>
      <c r="C37" t="s">
        <v>27</v>
      </c>
      <c r="D37">
        <v>404955449.99777001</v>
      </c>
      <c r="E37">
        <v>0.95599999999999996</v>
      </c>
    </row>
    <row r="38" spans="1:5" x14ac:dyDescent="0.35">
      <c r="A38">
        <v>5</v>
      </c>
      <c r="B38" t="s">
        <v>28</v>
      </c>
      <c r="C38" t="s">
        <v>20</v>
      </c>
      <c r="D38">
        <v>445654000</v>
      </c>
      <c r="E38">
        <v>0.95</v>
      </c>
    </row>
    <row r="39" spans="1:5" x14ac:dyDescent="0.35">
      <c r="A39">
        <v>5</v>
      </c>
      <c r="B39" t="s">
        <v>28</v>
      </c>
      <c r="C39" t="s">
        <v>29</v>
      </c>
      <c r="D39">
        <v>472221250</v>
      </c>
      <c r="E39">
        <v>0.96299999999999997</v>
      </c>
    </row>
    <row r="40" spans="1:5" x14ac:dyDescent="0.35">
      <c r="A40">
        <v>6</v>
      </c>
      <c r="B40" t="s">
        <v>5</v>
      </c>
      <c r="C40" t="s">
        <v>6</v>
      </c>
      <c r="D40">
        <v>142189254.00000006</v>
      </c>
      <c r="E40">
        <v>0.94599999999999995</v>
      </c>
    </row>
    <row r="41" spans="1:5" x14ac:dyDescent="0.35">
      <c r="A41">
        <v>6</v>
      </c>
      <c r="B41" t="s">
        <v>5</v>
      </c>
      <c r="C41" t="s">
        <v>7</v>
      </c>
      <c r="D41">
        <v>310034432.00000012</v>
      </c>
      <c r="E41">
        <v>0.95899999999999996</v>
      </c>
    </row>
    <row r="42" spans="1:5" x14ac:dyDescent="0.35">
      <c r="A42">
        <v>6</v>
      </c>
      <c r="B42" t="s">
        <v>5</v>
      </c>
      <c r="C42" t="s">
        <v>8</v>
      </c>
      <c r="D42">
        <v>144584999.99999994</v>
      </c>
      <c r="E42">
        <v>0.94099999999999995</v>
      </c>
    </row>
    <row r="43" spans="1:5" x14ac:dyDescent="0.35">
      <c r="A43">
        <v>6</v>
      </c>
      <c r="B43" t="s">
        <v>12</v>
      </c>
      <c r="C43" t="s">
        <v>13</v>
      </c>
      <c r="D43">
        <v>160498900.99999976</v>
      </c>
      <c r="E43">
        <v>0.89900000000000002</v>
      </c>
    </row>
    <row r="44" spans="1:5" x14ac:dyDescent="0.35">
      <c r="A44">
        <v>6</v>
      </c>
      <c r="B44" t="s">
        <v>12</v>
      </c>
      <c r="C44" t="s">
        <v>14</v>
      </c>
      <c r="D44">
        <v>74185888.88888894</v>
      </c>
      <c r="E44">
        <v>0.89600000000000002</v>
      </c>
    </row>
    <row r="45" spans="1:5" x14ac:dyDescent="0.35">
      <c r="A45">
        <v>6</v>
      </c>
      <c r="B45" t="s">
        <v>15</v>
      </c>
      <c r="C45" t="s">
        <v>11</v>
      </c>
      <c r="D45">
        <v>75202000</v>
      </c>
      <c r="E45">
        <v>0.96</v>
      </c>
    </row>
    <row r="46" spans="1:5" x14ac:dyDescent="0.35">
      <c r="A46">
        <v>6</v>
      </c>
      <c r="B46" t="s">
        <v>16</v>
      </c>
      <c r="C46" t="s">
        <v>17</v>
      </c>
      <c r="D46">
        <v>83644185</v>
      </c>
      <c r="E46">
        <v>0.96899999999999997</v>
      </c>
    </row>
    <row r="47" spans="1:5" x14ac:dyDescent="0.35">
      <c r="A47">
        <v>6</v>
      </c>
      <c r="B47" t="s">
        <v>16</v>
      </c>
      <c r="C47" t="s">
        <v>18</v>
      </c>
      <c r="D47">
        <v>31037125</v>
      </c>
      <c r="E47">
        <v>0.95499999999999996</v>
      </c>
    </row>
    <row r="48" spans="1:5" x14ac:dyDescent="0.35">
      <c r="A48">
        <v>6</v>
      </c>
      <c r="B48" t="s">
        <v>19</v>
      </c>
      <c r="C48" t="s">
        <v>20</v>
      </c>
      <c r="D48">
        <v>255266000</v>
      </c>
      <c r="E48">
        <v>0.95399999999999996</v>
      </c>
    </row>
    <row r="49" spans="1:5" x14ac:dyDescent="0.35">
      <c r="A49">
        <v>6</v>
      </c>
      <c r="B49" t="s">
        <v>19</v>
      </c>
      <c r="C49" t="s">
        <v>9</v>
      </c>
      <c r="D49">
        <v>4296600</v>
      </c>
      <c r="E49">
        <v>0.95799999999999996</v>
      </c>
    </row>
    <row r="50" spans="1:5" x14ac:dyDescent="0.35">
      <c r="A50">
        <v>6</v>
      </c>
      <c r="B50" t="s">
        <v>19</v>
      </c>
      <c r="C50" t="s">
        <v>21</v>
      </c>
      <c r="D50">
        <v>64259800</v>
      </c>
      <c r="E50">
        <v>0.97199999999999998</v>
      </c>
    </row>
    <row r="51" spans="1:5" x14ac:dyDescent="0.35">
      <c r="A51">
        <v>6</v>
      </c>
      <c r="B51" t="s">
        <v>22</v>
      </c>
      <c r="C51" t="s">
        <v>24</v>
      </c>
      <c r="D51">
        <v>423945587.564888</v>
      </c>
      <c r="E51">
        <v>0.95099999999999996</v>
      </c>
    </row>
    <row r="52" spans="1:5" x14ac:dyDescent="0.35">
      <c r="A52">
        <v>6</v>
      </c>
      <c r="B52" t="s">
        <v>22</v>
      </c>
      <c r="C52" t="s">
        <v>25</v>
      </c>
      <c r="D52">
        <v>236377447.31353599</v>
      </c>
      <c r="E52">
        <v>0.95599999999999996</v>
      </c>
    </row>
    <row r="53" spans="1:5" x14ac:dyDescent="0.35">
      <c r="A53">
        <v>6</v>
      </c>
      <c r="B53" t="s">
        <v>22</v>
      </c>
      <c r="C53" t="s">
        <v>26</v>
      </c>
      <c r="D53">
        <v>408602173.16988802</v>
      </c>
      <c r="E53">
        <v>0.95899999999999996</v>
      </c>
    </row>
    <row r="54" spans="1:5" x14ac:dyDescent="0.35">
      <c r="A54">
        <v>6</v>
      </c>
      <c r="B54" t="s">
        <v>22</v>
      </c>
      <c r="C54" t="s">
        <v>27</v>
      </c>
      <c r="D54">
        <v>259682842.83199999</v>
      </c>
      <c r="E54">
        <v>0.95799999999999996</v>
      </c>
    </row>
    <row r="55" spans="1:5" x14ac:dyDescent="0.35">
      <c r="A55">
        <v>6</v>
      </c>
      <c r="B55" t="s">
        <v>28</v>
      </c>
      <c r="C55" t="s">
        <v>18</v>
      </c>
      <c r="D55">
        <v>219388000</v>
      </c>
      <c r="E55">
        <v>0.96299999999999997</v>
      </c>
    </row>
    <row r="56" spans="1:5" x14ac:dyDescent="0.35">
      <c r="A56">
        <v>6</v>
      </c>
      <c r="B56" t="s">
        <v>28</v>
      </c>
      <c r="C56" t="s">
        <v>27</v>
      </c>
      <c r="D56">
        <v>258659662.81213</v>
      </c>
      <c r="E56">
        <v>0.95699999999999996</v>
      </c>
    </row>
    <row r="57" spans="1:5" x14ac:dyDescent="0.35">
      <c r="A57">
        <v>6</v>
      </c>
      <c r="B57" t="s">
        <v>28</v>
      </c>
      <c r="C57" t="s">
        <v>20</v>
      </c>
      <c r="D57">
        <v>325400200</v>
      </c>
      <c r="E57">
        <v>0.96199999999999997</v>
      </c>
    </row>
    <row r="58" spans="1:5" x14ac:dyDescent="0.35">
      <c r="A58">
        <v>6</v>
      </c>
      <c r="B58" t="s">
        <v>28</v>
      </c>
      <c r="C58" t="s">
        <v>29</v>
      </c>
      <c r="D58">
        <v>491834246</v>
      </c>
      <c r="E58">
        <v>0.95799999999999996</v>
      </c>
    </row>
  </sheetData>
  <phoneticPr fontId="1" type="noConversion"/>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0B02A7-187D-452C-8F11-E0044C7CE401}">
  <sheetPr codeName="Sheet5"/>
  <dimension ref="A1:X84"/>
  <sheetViews>
    <sheetView topLeftCell="D13" workbookViewId="0">
      <selection activeCell="G10" sqref="G10"/>
    </sheetView>
  </sheetViews>
  <sheetFormatPr defaultRowHeight="14.5" x14ac:dyDescent="0.35"/>
  <cols>
    <col min="1" max="1" width="19.90625" bestFit="1" customWidth="1"/>
    <col min="2" max="2" width="16.54296875" bestFit="1" customWidth="1"/>
    <col min="3" max="5" width="13.81640625" bestFit="1" customWidth="1"/>
    <col min="6" max="8" width="12.1796875" bestFit="1" customWidth="1"/>
    <col min="9" max="9" width="14.81640625" bestFit="1" customWidth="1"/>
    <col min="10" max="10" width="10.81640625" bestFit="1" customWidth="1"/>
    <col min="11" max="11" width="11.81640625" bestFit="1" customWidth="1"/>
    <col min="12" max="12" width="15.26953125" bestFit="1" customWidth="1"/>
    <col min="13" max="13" width="16" bestFit="1" customWidth="1"/>
    <col min="14" max="14" width="9" bestFit="1" customWidth="1"/>
    <col min="15" max="15" width="19.26953125" bestFit="1" customWidth="1"/>
    <col min="16" max="16" width="11.7265625" bestFit="1" customWidth="1"/>
    <col min="17" max="17" width="10.54296875" bestFit="1" customWidth="1"/>
    <col min="18" max="19" width="12.7265625" bestFit="1" customWidth="1"/>
    <col min="20" max="20" width="15.81640625" bestFit="1" customWidth="1"/>
    <col min="21" max="21" width="13.7265625" bestFit="1" customWidth="1"/>
    <col min="22" max="22" width="16.81640625" bestFit="1" customWidth="1"/>
    <col min="23" max="23" width="17" bestFit="1" customWidth="1"/>
    <col min="24" max="24" width="20.1796875" bestFit="1" customWidth="1"/>
    <col min="25" max="25" width="16.81640625" bestFit="1" customWidth="1"/>
    <col min="26" max="26" width="20" bestFit="1" customWidth="1"/>
    <col min="27" max="27" width="8.7265625" bestFit="1" customWidth="1"/>
    <col min="28" max="28" width="11.7265625" bestFit="1" customWidth="1"/>
    <col min="29" max="29" width="21.1796875" bestFit="1" customWidth="1"/>
    <col min="30" max="30" width="6.1796875" bestFit="1" customWidth="1"/>
    <col min="31" max="31" width="24.26953125" bestFit="1" customWidth="1"/>
    <col min="32" max="32" width="13.54296875" bestFit="1" customWidth="1"/>
    <col min="33" max="33" width="16.7265625" bestFit="1" customWidth="1"/>
    <col min="34" max="34" width="12.453125" bestFit="1" customWidth="1"/>
    <col min="35" max="35" width="6.1796875" bestFit="1" customWidth="1"/>
    <col min="36" max="36" width="15.54296875" bestFit="1" customWidth="1"/>
    <col min="37" max="37" width="12.7265625" bestFit="1" customWidth="1"/>
  </cols>
  <sheetData>
    <row r="1" spans="1:15" s="3" customFormat="1" x14ac:dyDescent="0.35">
      <c r="A1" s="2" t="s">
        <v>42</v>
      </c>
      <c r="B1" s="2" t="s">
        <v>43</v>
      </c>
      <c r="C1" s="2"/>
      <c r="D1" s="2"/>
      <c r="E1" s="2"/>
      <c r="F1" s="2"/>
      <c r="G1" s="2"/>
      <c r="H1" s="2"/>
      <c r="I1" s="2"/>
      <c r="L1" s="43" t="s">
        <v>49</v>
      </c>
      <c r="M1" s="43"/>
      <c r="N1" s="43"/>
      <c r="O1" s="43"/>
    </row>
    <row r="2" spans="1:15" s="3" customFormat="1" x14ac:dyDescent="0.35">
      <c r="A2" s="2" t="s">
        <v>40</v>
      </c>
      <c r="B2" s="2" t="s">
        <v>19</v>
      </c>
      <c r="C2" s="2" t="s">
        <v>5</v>
      </c>
      <c r="D2" s="2" t="s">
        <v>28</v>
      </c>
      <c r="E2" s="2" t="s">
        <v>22</v>
      </c>
      <c r="F2" s="2" t="s">
        <v>12</v>
      </c>
      <c r="G2" s="2" t="s">
        <v>16</v>
      </c>
      <c r="H2" s="2" t="s">
        <v>15</v>
      </c>
      <c r="I2" s="2" t="s">
        <v>41</v>
      </c>
      <c r="L2" s="9" t="s">
        <v>50</v>
      </c>
      <c r="M2" s="9" t="s">
        <v>51</v>
      </c>
      <c r="N2" s="9" t="s">
        <v>53</v>
      </c>
      <c r="O2" s="10" t="s">
        <v>54</v>
      </c>
    </row>
    <row r="3" spans="1:15" s="3" customFormat="1" x14ac:dyDescent="0.35">
      <c r="A3" s="4">
        <v>4</v>
      </c>
      <c r="B3" s="2">
        <v>544024000</v>
      </c>
      <c r="C3" s="2">
        <v>390317681.00000024</v>
      </c>
      <c r="D3" s="2">
        <v>1514977568.6188099</v>
      </c>
      <c r="E3" s="2">
        <v>1890488452.447052</v>
      </c>
      <c r="F3" s="2">
        <v>226182181.81818175</v>
      </c>
      <c r="G3" s="2">
        <v>117463100</v>
      </c>
      <c r="H3" s="2">
        <v>61396000</v>
      </c>
      <c r="I3" s="2">
        <v>4744848983.8840446</v>
      </c>
      <c r="L3" s="11">
        <f>GETPIVOTDATA("Chi Phí - ngắn",$A$1)</f>
        <v>14402947488.888821</v>
      </c>
      <c r="M3" s="10">
        <f>COUNTA(A35:A59)-2</f>
        <v>16</v>
      </c>
      <c r="N3" s="12">
        <f>GETPIVOTDATA("Chi Phí - ngắn",$A$1)/GETPIVOTDATA("Chi Phí - ngắn",$A$20)</f>
        <v>1</v>
      </c>
      <c r="O3" s="13">
        <f>GETPIVOTDATA("[Measures].[Average of KPI- ngắn]",$A$37)</f>
        <v>0.95285964912280707</v>
      </c>
    </row>
    <row r="4" spans="1:15" s="3" customFormat="1" x14ac:dyDescent="0.35">
      <c r="A4" s="4">
        <v>5</v>
      </c>
      <c r="B4" s="2">
        <v>499932000</v>
      </c>
      <c r="C4" s="2">
        <v>528955635.00000006</v>
      </c>
      <c r="D4" s="2">
        <v>1649400745.9977701</v>
      </c>
      <c r="E4" s="2">
        <v>2496916451.6074924</v>
      </c>
      <c r="F4" s="2">
        <v>226182181.81818175</v>
      </c>
      <c r="G4" s="2">
        <v>152109145</v>
      </c>
      <c r="H4" s="2">
        <v>135512999.99999994</v>
      </c>
      <c r="I4" s="2">
        <v>5689009159.4234447</v>
      </c>
    </row>
    <row r="5" spans="1:15" s="3" customFormat="1" x14ac:dyDescent="0.35">
      <c r="A5" s="4">
        <v>6</v>
      </c>
      <c r="B5" s="2">
        <v>323822400</v>
      </c>
      <c r="C5" s="2">
        <v>596808686.00000012</v>
      </c>
      <c r="D5" s="2">
        <v>1295282108.81213</v>
      </c>
      <c r="E5" s="2">
        <v>1328608050.880312</v>
      </c>
      <c r="F5" s="2">
        <v>234684789.88888872</v>
      </c>
      <c r="G5" s="2">
        <v>114681310</v>
      </c>
      <c r="H5" s="2">
        <v>75202000</v>
      </c>
      <c r="I5" s="2">
        <v>3969089345.5813308</v>
      </c>
    </row>
    <row r="6" spans="1:15" s="3" customFormat="1" x14ac:dyDescent="0.35">
      <c r="A6" s="4" t="s">
        <v>41</v>
      </c>
      <c r="B6" s="2">
        <v>1367778400</v>
      </c>
      <c r="C6" s="2">
        <v>1516082002.0000005</v>
      </c>
      <c r="D6" s="2">
        <v>4459660423.42871</v>
      </c>
      <c r="E6" s="2">
        <v>5716012954.9348564</v>
      </c>
      <c r="F6" s="2">
        <v>687049153.52525222</v>
      </c>
      <c r="G6" s="2">
        <v>384253555</v>
      </c>
      <c r="H6" s="2">
        <v>272110999.99999994</v>
      </c>
      <c r="I6" s="2">
        <v>14402947488.888821</v>
      </c>
    </row>
    <row r="7" spans="1:15" s="3" customFormat="1" x14ac:dyDescent="0.35"/>
    <row r="8" spans="1:15" s="3" customFormat="1" x14ac:dyDescent="0.35"/>
    <row r="9" spans="1:15" s="3" customFormat="1" x14ac:dyDescent="0.35"/>
    <row r="10" spans="1:15" s="3" customFormat="1" x14ac:dyDescent="0.35"/>
    <row r="11" spans="1:15" s="3" customFormat="1" x14ac:dyDescent="0.35">
      <c r="A11" s="2" t="s">
        <v>52</v>
      </c>
      <c r="B11" s="2" t="s">
        <v>43</v>
      </c>
      <c r="C11" s="2"/>
      <c r="D11" s="2"/>
      <c r="E11" s="2"/>
      <c r="F11" s="2"/>
      <c r="G11" s="2"/>
      <c r="H11" s="2"/>
      <c r="I11" s="2"/>
    </row>
    <row r="12" spans="1:15" s="3" customFormat="1" x14ac:dyDescent="0.35">
      <c r="A12" s="2" t="s">
        <v>40</v>
      </c>
      <c r="B12" s="2" t="s">
        <v>19</v>
      </c>
      <c r="C12" s="2" t="s">
        <v>5</v>
      </c>
      <c r="D12" s="2" t="s">
        <v>28</v>
      </c>
      <c r="E12" s="2" t="s">
        <v>22</v>
      </c>
      <c r="F12" s="2" t="s">
        <v>12</v>
      </c>
      <c r="G12" s="2" t="s">
        <v>16</v>
      </c>
      <c r="H12" s="2" t="s">
        <v>15</v>
      </c>
      <c r="I12" s="2" t="s">
        <v>41</v>
      </c>
    </row>
    <row r="13" spans="1:15" s="3" customFormat="1" x14ac:dyDescent="0.35">
      <c r="A13" s="4">
        <v>4</v>
      </c>
      <c r="B13" s="2">
        <v>3</v>
      </c>
      <c r="C13" s="2">
        <v>3</v>
      </c>
      <c r="D13" s="2">
        <v>4</v>
      </c>
      <c r="E13" s="2">
        <v>4</v>
      </c>
      <c r="F13" s="2">
        <v>2</v>
      </c>
      <c r="G13" s="2">
        <v>2</v>
      </c>
      <c r="H13" s="2">
        <v>1</v>
      </c>
      <c r="I13" s="2">
        <v>19</v>
      </c>
    </row>
    <row r="14" spans="1:15" s="3" customFormat="1" x14ac:dyDescent="0.35">
      <c r="A14" s="4">
        <v>5</v>
      </c>
      <c r="B14" s="2">
        <v>3</v>
      </c>
      <c r="C14" s="2">
        <v>3</v>
      </c>
      <c r="D14" s="2">
        <v>4</v>
      </c>
      <c r="E14" s="2">
        <v>4</v>
      </c>
      <c r="F14" s="2">
        <v>2</v>
      </c>
      <c r="G14" s="2">
        <v>2</v>
      </c>
      <c r="H14" s="2">
        <v>1</v>
      </c>
      <c r="I14" s="2">
        <v>19</v>
      </c>
    </row>
    <row r="15" spans="1:15" s="3" customFormat="1" x14ac:dyDescent="0.35">
      <c r="A15" s="4">
        <v>6</v>
      </c>
      <c r="B15" s="2">
        <v>3</v>
      </c>
      <c r="C15" s="2">
        <v>3</v>
      </c>
      <c r="D15" s="2">
        <v>4</v>
      </c>
      <c r="E15" s="2">
        <v>4</v>
      </c>
      <c r="F15" s="2">
        <v>2</v>
      </c>
      <c r="G15" s="2">
        <v>2</v>
      </c>
      <c r="H15" s="2">
        <v>1</v>
      </c>
      <c r="I15" s="2">
        <v>19</v>
      </c>
    </row>
    <row r="16" spans="1:15" s="3" customFormat="1" x14ac:dyDescent="0.35">
      <c r="A16" s="4" t="s">
        <v>41</v>
      </c>
      <c r="B16" s="2">
        <v>9</v>
      </c>
      <c r="C16" s="2">
        <v>9</v>
      </c>
      <c r="D16" s="2">
        <v>12</v>
      </c>
      <c r="E16" s="2">
        <v>12</v>
      </c>
      <c r="F16" s="2">
        <v>6</v>
      </c>
      <c r="G16" s="2">
        <v>6</v>
      </c>
      <c r="H16" s="2">
        <v>3</v>
      </c>
      <c r="I16" s="2">
        <v>57</v>
      </c>
    </row>
    <row r="17" spans="1:24" s="3" customFormat="1" x14ac:dyDescent="0.35"/>
    <row r="18" spans="1:24" s="3" customFormat="1" x14ac:dyDescent="0.35"/>
    <row r="19" spans="1:24" s="3" customFormat="1" x14ac:dyDescent="0.35"/>
    <row r="20" spans="1:24" s="3" customFormat="1" x14ac:dyDescent="0.35">
      <c r="A20" s="2" t="s">
        <v>42</v>
      </c>
      <c r="B20" s="2" t="s">
        <v>43</v>
      </c>
      <c r="C20" s="2"/>
      <c r="D20" s="2"/>
      <c r="E20" s="2"/>
      <c r="F20" s="2"/>
      <c r="G20" s="2"/>
      <c r="H20" s="2"/>
      <c r="I20" s="2"/>
    </row>
    <row r="21" spans="1:24" s="3" customFormat="1" x14ac:dyDescent="0.35">
      <c r="A21" s="2" t="s">
        <v>40</v>
      </c>
      <c r="B21" s="2" t="s">
        <v>19</v>
      </c>
      <c r="C21" s="2" t="s">
        <v>5</v>
      </c>
      <c r="D21" s="2" t="s">
        <v>28</v>
      </c>
      <c r="E21" s="2" t="s">
        <v>22</v>
      </c>
      <c r="F21" s="2" t="s">
        <v>12</v>
      </c>
      <c r="G21" s="2" t="s">
        <v>16</v>
      </c>
      <c r="H21" s="2" t="s">
        <v>15</v>
      </c>
      <c r="I21" s="2" t="s">
        <v>41</v>
      </c>
    </row>
    <row r="22" spans="1:24" s="3" customFormat="1" x14ac:dyDescent="0.35">
      <c r="A22" s="4">
        <v>4</v>
      </c>
      <c r="B22" s="2">
        <v>544024000</v>
      </c>
      <c r="C22" s="2">
        <v>390317681.00000024</v>
      </c>
      <c r="D22" s="2">
        <v>1514977568.6188099</v>
      </c>
      <c r="E22" s="2">
        <v>1890488452.447052</v>
      </c>
      <c r="F22" s="2">
        <v>226182181.81818175</v>
      </c>
      <c r="G22" s="2">
        <v>117463100</v>
      </c>
      <c r="H22" s="2">
        <v>61396000</v>
      </c>
      <c r="I22" s="2">
        <v>4744848983.8840446</v>
      </c>
    </row>
    <row r="23" spans="1:24" s="3" customFormat="1" x14ac:dyDescent="0.35">
      <c r="A23" s="4">
        <v>5</v>
      </c>
      <c r="B23" s="2">
        <v>499932000</v>
      </c>
      <c r="C23" s="2">
        <v>528955635.00000006</v>
      </c>
      <c r="D23" s="2">
        <v>1649400745.9977701</v>
      </c>
      <c r="E23" s="2">
        <v>2496916451.6074924</v>
      </c>
      <c r="F23" s="2">
        <v>226182181.81818175</v>
      </c>
      <c r="G23" s="2">
        <v>152109145</v>
      </c>
      <c r="H23" s="2">
        <v>135512999.99999994</v>
      </c>
      <c r="I23" s="2">
        <v>5689009159.4234447</v>
      </c>
    </row>
    <row r="24" spans="1:24" s="3" customFormat="1" x14ac:dyDescent="0.35">
      <c r="A24" s="4">
        <v>6</v>
      </c>
      <c r="B24" s="2">
        <v>323822400</v>
      </c>
      <c r="C24" s="2">
        <v>596808686.00000012</v>
      </c>
      <c r="D24" s="2">
        <v>1295282108.81213</v>
      </c>
      <c r="E24" s="2">
        <v>1328608050.880312</v>
      </c>
      <c r="F24" s="2">
        <v>234684789.88888872</v>
      </c>
      <c r="G24" s="2">
        <v>114681310</v>
      </c>
      <c r="H24" s="2">
        <v>75202000</v>
      </c>
      <c r="I24" s="2">
        <v>3969089345.5813308</v>
      </c>
    </row>
    <row r="25" spans="1:24" s="3" customFormat="1" x14ac:dyDescent="0.35">
      <c r="A25" s="4" t="s">
        <v>41</v>
      </c>
      <c r="B25" s="2">
        <v>1367778400</v>
      </c>
      <c r="C25" s="2">
        <v>1516082002.0000005</v>
      </c>
      <c r="D25" s="2">
        <v>4459660423.42871</v>
      </c>
      <c r="E25" s="2">
        <v>5716012954.9348564</v>
      </c>
      <c r="F25" s="2">
        <v>687049153.52525222</v>
      </c>
      <c r="G25" s="2">
        <v>384253555</v>
      </c>
      <c r="H25" s="2">
        <v>272110999.99999994</v>
      </c>
      <c r="I25" s="2">
        <v>14402947488.888821</v>
      </c>
    </row>
    <row r="26" spans="1:24" s="3" customFormat="1" x14ac:dyDescent="0.35"/>
    <row r="27" spans="1:24" s="3" customFormat="1" x14ac:dyDescent="0.35"/>
    <row r="28" spans="1:24" s="3" customFormat="1" x14ac:dyDescent="0.35"/>
    <row r="29" spans="1:24" s="3" customFormat="1" x14ac:dyDescent="0.35"/>
    <row r="30" spans="1:24" s="3" customFormat="1" ht="13.5" customHeight="1" x14ac:dyDescent="0.35"/>
    <row r="31" spans="1:24" s="3" customFormat="1" x14ac:dyDescent="0.35"/>
    <row r="32" spans="1:24" x14ac:dyDescent="0.35">
      <c r="A32" s="5"/>
      <c r="B32" s="5"/>
      <c r="C32" s="5"/>
      <c r="D32" s="5"/>
      <c r="E32" s="5"/>
      <c r="F32" s="5"/>
      <c r="G32" s="5"/>
      <c r="H32" s="5"/>
      <c r="I32" s="5"/>
      <c r="J32" s="5"/>
      <c r="K32" s="5"/>
      <c r="L32" s="5"/>
      <c r="M32" s="5"/>
      <c r="N32" s="5"/>
      <c r="O32" s="5"/>
      <c r="P32" s="5"/>
      <c r="Q32" s="5"/>
      <c r="R32" s="5"/>
      <c r="S32" s="5"/>
      <c r="T32" s="5"/>
      <c r="U32" s="5"/>
      <c r="V32" s="5"/>
      <c r="W32" s="5"/>
      <c r="X32" s="5"/>
    </row>
    <row r="33" spans="1:24" x14ac:dyDescent="0.35">
      <c r="A33" s="5"/>
      <c r="B33" s="5"/>
      <c r="C33" s="5"/>
      <c r="D33" s="5"/>
      <c r="E33" s="5"/>
      <c r="F33" s="5"/>
      <c r="G33" s="5"/>
      <c r="H33" s="5"/>
      <c r="I33" s="5"/>
      <c r="J33" s="5"/>
      <c r="K33" s="5"/>
      <c r="L33" s="5"/>
      <c r="M33" s="5"/>
      <c r="N33" s="5"/>
      <c r="O33" s="5"/>
      <c r="P33" s="5"/>
      <c r="Q33" s="5"/>
      <c r="R33" s="5"/>
      <c r="S33" s="5"/>
      <c r="T33" s="5"/>
      <c r="U33" s="5"/>
      <c r="V33" s="5"/>
      <c r="W33" s="5"/>
      <c r="X33" s="5"/>
    </row>
    <row r="34" spans="1:24" x14ac:dyDescent="0.35">
      <c r="A34" s="5"/>
      <c r="B34" s="5"/>
      <c r="C34" s="5"/>
      <c r="D34" s="5"/>
      <c r="E34" s="5"/>
      <c r="F34" s="5"/>
      <c r="G34" s="5"/>
      <c r="H34" s="5"/>
      <c r="I34" s="5"/>
      <c r="J34" s="5"/>
      <c r="K34" s="5"/>
      <c r="L34" s="5"/>
      <c r="M34" s="5"/>
      <c r="N34" s="5"/>
      <c r="O34" s="5"/>
      <c r="P34" s="5"/>
      <c r="Q34" s="5"/>
      <c r="R34" s="5"/>
      <c r="S34" s="5"/>
      <c r="T34" s="5"/>
      <c r="U34" s="5"/>
      <c r="V34" s="5"/>
      <c r="W34" s="5"/>
      <c r="X34" s="5"/>
    </row>
    <row r="35" spans="1:24" x14ac:dyDescent="0.35">
      <c r="A35" s="5"/>
      <c r="B35" s="5"/>
      <c r="C35" s="5"/>
      <c r="D35" s="5"/>
      <c r="E35" s="5"/>
      <c r="F35" s="5"/>
      <c r="G35" s="5"/>
      <c r="H35" s="5"/>
      <c r="I35" s="5"/>
      <c r="J35" s="5"/>
      <c r="K35" s="5"/>
      <c r="L35" s="5"/>
      <c r="M35" s="5"/>
      <c r="N35" s="5"/>
      <c r="O35" s="5"/>
      <c r="P35" s="5"/>
      <c r="Q35" s="5"/>
      <c r="R35" s="5"/>
      <c r="S35" s="5"/>
      <c r="T35" s="5"/>
      <c r="U35" s="5"/>
      <c r="V35" s="5"/>
      <c r="W35" s="5"/>
      <c r="X35" s="5"/>
    </row>
    <row r="36" spans="1:24" x14ac:dyDescent="0.35">
      <c r="A36" s="5"/>
      <c r="B36" s="5"/>
      <c r="C36" s="5"/>
      <c r="D36" s="5"/>
      <c r="E36" s="5"/>
      <c r="F36" s="5"/>
      <c r="G36" s="5"/>
      <c r="H36" s="5"/>
      <c r="I36" s="5"/>
      <c r="J36" s="5"/>
      <c r="K36" s="5"/>
      <c r="L36" s="5"/>
      <c r="M36" s="5"/>
      <c r="N36" s="5"/>
      <c r="O36" s="5"/>
      <c r="P36" s="5"/>
      <c r="Q36" s="5"/>
      <c r="R36" s="5"/>
      <c r="S36" s="5"/>
      <c r="T36" s="5"/>
      <c r="U36" s="5"/>
      <c r="V36" s="5"/>
      <c r="W36" s="5"/>
      <c r="X36" s="5"/>
    </row>
    <row r="37" spans="1:24" x14ac:dyDescent="0.35">
      <c r="A37" s="5" t="s">
        <v>40</v>
      </c>
      <c r="B37" s="5" t="s">
        <v>44</v>
      </c>
      <c r="C37" s="5" t="s">
        <v>45</v>
      </c>
      <c r="D37" s="5" t="s">
        <v>46</v>
      </c>
      <c r="E37" s="5" t="s">
        <v>47</v>
      </c>
      <c r="F37" s="5"/>
      <c r="G37" s="5"/>
      <c r="H37" s="5"/>
      <c r="I37" s="5"/>
      <c r="J37" s="5"/>
      <c r="K37" s="5"/>
      <c r="L37" s="5"/>
      <c r="M37" s="5"/>
      <c r="N37" s="5"/>
      <c r="O37" s="5"/>
      <c r="P37" s="5"/>
      <c r="Q37" s="5"/>
      <c r="R37" s="5"/>
      <c r="S37" s="5"/>
      <c r="T37" s="5"/>
      <c r="U37" s="5"/>
      <c r="V37" s="5"/>
      <c r="W37" s="5"/>
      <c r="X37" s="5"/>
    </row>
    <row r="38" spans="1:24" x14ac:dyDescent="0.35">
      <c r="A38" s="6" t="s">
        <v>24</v>
      </c>
      <c r="B38" s="7">
        <v>0.95166666666666666</v>
      </c>
      <c r="C38" s="7">
        <v>0.95</v>
      </c>
      <c r="D38" s="7">
        <v>0.9</v>
      </c>
      <c r="E38" s="7">
        <v>0.85</v>
      </c>
      <c r="F38" s="5"/>
      <c r="G38" s="5"/>
      <c r="H38" s="5"/>
      <c r="I38" s="5"/>
      <c r="J38" s="5"/>
      <c r="K38" s="5"/>
      <c r="L38" s="5"/>
      <c r="M38" s="5"/>
      <c r="N38" s="5"/>
      <c r="O38" s="5"/>
      <c r="P38" s="5"/>
      <c r="Q38" s="5"/>
      <c r="R38" s="5"/>
      <c r="S38" s="5"/>
      <c r="T38" s="5"/>
      <c r="U38" s="5"/>
      <c r="V38" s="5"/>
      <c r="W38" s="5"/>
      <c r="X38" s="5"/>
    </row>
    <row r="39" spans="1:24" x14ac:dyDescent="0.35">
      <c r="A39" s="6" t="s">
        <v>13</v>
      </c>
      <c r="B39" s="7">
        <v>0.94233333333333336</v>
      </c>
      <c r="C39" s="7">
        <v>0.95</v>
      </c>
      <c r="D39" s="7">
        <v>0.9</v>
      </c>
      <c r="E39" s="7">
        <v>0.85</v>
      </c>
      <c r="F39" s="5"/>
      <c r="G39" s="5"/>
      <c r="H39" s="5"/>
      <c r="I39" s="5"/>
      <c r="J39" s="5"/>
      <c r="K39" s="5"/>
      <c r="L39" s="5"/>
      <c r="M39" s="5"/>
      <c r="N39" s="5"/>
      <c r="O39" s="5"/>
      <c r="P39" s="5"/>
      <c r="Q39" s="5"/>
      <c r="R39" s="5"/>
      <c r="S39" s="5"/>
      <c r="T39" s="5"/>
      <c r="U39" s="5"/>
      <c r="V39" s="5"/>
      <c r="W39" s="5"/>
      <c r="X39" s="5"/>
    </row>
    <row r="40" spans="1:24" x14ac:dyDescent="0.35">
      <c r="A40" s="6" t="s">
        <v>14</v>
      </c>
      <c r="B40" s="7">
        <v>0.94300000000000006</v>
      </c>
      <c r="C40" s="7">
        <v>0.95</v>
      </c>
      <c r="D40" s="7">
        <v>0.9</v>
      </c>
      <c r="E40" s="7">
        <v>0.85</v>
      </c>
      <c r="F40" s="5"/>
      <c r="G40" s="5"/>
      <c r="H40" s="5"/>
      <c r="I40" s="5"/>
      <c r="J40" s="5"/>
      <c r="K40" s="5"/>
      <c r="L40" s="5"/>
      <c r="M40" s="5"/>
      <c r="N40" s="5"/>
      <c r="O40" s="5"/>
      <c r="P40" s="5"/>
      <c r="Q40" s="5"/>
      <c r="R40" s="5"/>
      <c r="S40" s="5"/>
      <c r="T40" s="5"/>
      <c r="U40" s="5"/>
      <c r="V40" s="5"/>
      <c r="W40" s="5"/>
      <c r="X40" s="5"/>
    </row>
    <row r="41" spans="1:24" x14ac:dyDescent="0.35">
      <c r="A41" s="6" t="s">
        <v>26</v>
      </c>
      <c r="B41" s="7">
        <v>0.95966666666666667</v>
      </c>
      <c r="C41" s="7">
        <v>0.95</v>
      </c>
      <c r="D41" s="7">
        <v>0.9</v>
      </c>
      <c r="E41" s="7">
        <v>0.85</v>
      </c>
      <c r="F41" s="5"/>
      <c r="G41" s="5"/>
      <c r="H41" s="5"/>
      <c r="I41" s="5"/>
      <c r="J41" s="5"/>
      <c r="K41" s="5"/>
      <c r="L41" s="5"/>
      <c r="M41" s="5"/>
      <c r="N41" s="5"/>
      <c r="O41" s="5"/>
      <c r="P41" s="5"/>
      <c r="Q41" s="5"/>
      <c r="R41" s="5"/>
      <c r="S41" s="5"/>
      <c r="T41" s="5"/>
      <c r="U41" s="5"/>
      <c r="V41" s="5"/>
      <c r="W41" s="5"/>
      <c r="X41" s="5"/>
    </row>
    <row r="42" spans="1:24" x14ac:dyDescent="0.35">
      <c r="A42" s="6" t="s">
        <v>17</v>
      </c>
      <c r="B42" s="7">
        <v>0.92733333333333334</v>
      </c>
      <c r="C42" s="7">
        <v>0.95</v>
      </c>
      <c r="D42" s="7">
        <v>0.9</v>
      </c>
      <c r="E42" s="7">
        <v>0.85</v>
      </c>
      <c r="F42" s="5"/>
      <c r="G42" s="5"/>
      <c r="H42" s="5"/>
      <c r="I42" s="5"/>
      <c r="J42" s="5"/>
      <c r="K42" s="5"/>
      <c r="L42" s="5"/>
      <c r="M42" s="5"/>
      <c r="N42" s="5"/>
      <c r="O42" s="5"/>
      <c r="P42" s="5"/>
      <c r="Q42" s="5"/>
      <c r="R42" s="5"/>
      <c r="S42" s="5"/>
      <c r="T42" s="5"/>
      <c r="U42" s="5"/>
      <c r="V42" s="5"/>
      <c r="W42" s="5"/>
      <c r="X42" s="5"/>
    </row>
    <row r="43" spans="1:24" x14ac:dyDescent="0.35">
      <c r="A43" s="6" t="s">
        <v>20</v>
      </c>
      <c r="B43" s="7">
        <v>0.95109999999999995</v>
      </c>
      <c r="C43" s="7">
        <v>0.95</v>
      </c>
      <c r="D43" s="7">
        <v>0.9</v>
      </c>
      <c r="E43" s="7">
        <v>0.85</v>
      </c>
      <c r="F43" s="5"/>
      <c r="G43" s="5"/>
      <c r="H43" s="5"/>
      <c r="I43" s="5"/>
      <c r="J43" s="5"/>
      <c r="K43" s="5"/>
      <c r="L43" s="5"/>
      <c r="M43" s="5"/>
      <c r="N43" s="5"/>
      <c r="O43" s="5"/>
      <c r="P43" s="5"/>
      <c r="Q43" s="5"/>
      <c r="R43" s="5"/>
      <c r="S43" s="5"/>
      <c r="T43" s="5"/>
      <c r="U43" s="5"/>
      <c r="V43" s="5"/>
      <c r="W43" s="5"/>
      <c r="X43" s="5"/>
    </row>
    <row r="44" spans="1:24" x14ac:dyDescent="0.35">
      <c r="A44" s="6" t="s">
        <v>8</v>
      </c>
      <c r="B44" s="7">
        <v>0.91966666666666663</v>
      </c>
      <c r="C44" s="7">
        <v>0.95</v>
      </c>
      <c r="D44" s="7">
        <v>0.9</v>
      </c>
      <c r="E44" s="7">
        <v>0.85</v>
      </c>
      <c r="F44" s="5"/>
      <c r="G44" s="5"/>
      <c r="H44" s="5"/>
      <c r="I44" s="5"/>
      <c r="J44" s="5"/>
      <c r="K44" s="5"/>
      <c r="L44" s="5"/>
      <c r="M44" s="5"/>
      <c r="N44" s="5"/>
      <c r="O44" s="5"/>
      <c r="P44" s="5"/>
      <c r="Q44" s="5"/>
      <c r="R44" s="5"/>
      <c r="S44" s="5"/>
      <c r="T44" s="5"/>
      <c r="U44" s="5"/>
      <c r="V44" s="5"/>
      <c r="W44" s="5"/>
      <c r="X44" s="5"/>
    </row>
    <row r="45" spans="1:24" x14ac:dyDescent="0.35">
      <c r="A45" s="6" t="s">
        <v>7</v>
      </c>
      <c r="B45" s="7">
        <v>0.97066666666666668</v>
      </c>
      <c r="C45" s="7">
        <v>0.95</v>
      </c>
      <c r="D45" s="7">
        <v>0.9</v>
      </c>
      <c r="E45" s="7">
        <v>0.85</v>
      </c>
      <c r="F45" s="5"/>
      <c r="G45" s="5"/>
      <c r="H45" s="5"/>
      <c r="I45" s="5"/>
      <c r="J45" s="5"/>
      <c r="K45" s="5"/>
      <c r="L45" s="5"/>
      <c r="M45" s="5"/>
      <c r="N45" s="5"/>
      <c r="O45" s="5"/>
      <c r="P45" s="5"/>
      <c r="Q45" s="5"/>
      <c r="R45" s="5"/>
      <c r="S45" s="5"/>
      <c r="T45" s="5"/>
      <c r="U45" s="5"/>
      <c r="V45" s="5"/>
      <c r="W45" s="5"/>
      <c r="X45" s="5"/>
    </row>
    <row r="46" spans="1:24" x14ac:dyDescent="0.35">
      <c r="A46" s="6" t="s">
        <v>9</v>
      </c>
      <c r="B46" s="7">
        <v>0.96299999999999997</v>
      </c>
      <c r="C46" s="7">
        <v>0.95</v>
      </c>
      <c r="D46" s="7">
        <v>0.9</v>
      </c>
      <c r="E46" s="7">
        <v>0.85</v>
      </c>
      <c r="F46" s="5"/>
      <c r="G46" s="5"/>
      <c r="H46" s="5"/>
      <c r="I46" s="5"/>
      <c r="J46" s="5"/>
      <c r="K46" s="5"/>
      <c r="L46" s="5"/>
      <c r="M46" s="5"/>
      <c r="N46" s="5"/>
      <c r="O46" s="5"/>
      <c r="P46" s="5"/>
      <c r="Q46" s="5"/>
      <c r="R46" s="5"/>
      <c r="S46" s="5"/>
      <c r="T46" s="5"/>
      <c r="U46" s="5"/>
      <c r="V46" s="5"/>
      <c r="W46" s="5"/>
      <c r="X46" s="5"/>
    </row>
    <row r="47" spans="1:24" x14ac:dyDescent="0.35">
      <c r="A47" s="6" t="s">
        <v>6</v>
      </c>
      <c r="B47" s="7">
        <v>0.94666666666666666</v>
      </c>
      <c r="C47" s="7">
        <v>0.95</v>
      </c>
      <c r="D47" s="7">
        <v>0.9</v>
      </c>
      <c r="E47" s="7">
        <v>0.85</v>
      </c>
      <c r="F47" s="5"/>
      <c r="G47" s="5"/>
      <c r="H47" s="5"/>
      <c r="I47" s="5"/>
      <c r="J47" s="5"/>
      <c r="K47" s="5"/>
      <c r="L47" s="5"/>
      <c r="M47" s="5"/>
      <c r="N47" s="5"/>
      <c r="O47" s="5"/>
      <c r="P47" s="5"/>
      <c r="Q47" s="5"/>
      <c r="R47" s="5"/>
      <c r="S47" s="5"/>
      <c r="T47" s="5"/>
      <c r="U47" s="5"/>
      <c r="V47" s="5"/>
      <c r="W47" s="5"/>
      <c r="X47" s="5"/>
    </row>
    <row r="48" spans="1:24" x14ac:dyDescent="0.35">
      <c r="A48" s="6" t="s">
        <v>11</v>
      </c>
      <c r="B48" s="7">
        <v>0.96333333333333337</v>
      </c>
      <c r="C48" s="7">
        <v>0.95</v>
      </c>
      <c r="D48" s="7">
        <v>0.9</v>
      </c>
      <c r="E48" s="7">
        <v>0.85</v>
      </c>
      <c r="F48" s="5"/>
      <c r="G48" s="5"/>
      <c r="H48" s="5"/>
      <c r="I48" s="5"/>
      <c r="J48" s="5"/>
      <c r="K48" s="5"/>
      <c r="L48" s="5"/>
      <c r="M48" s="5"/>
      <c r="N48" s="5"/>
      <c r="O48" s="5"/>
      <c r="P48" s="5"/>
      <c r="Q48" s="5"/>
      <c r="R48" s="5"/>
      <c r="S48" s="5"/>
      <c r="T48" s="5"/>
      <c r="U48" s="5"/>
      <c r="V48" s="5"/>
      <c r="W48" s="5"/>
      <c r="X48" s="5"/>
    </row>
    <row r="49" spans="1:24" x14ac:dyDescent="0.35">
      <c r="A49" s="6" t="s">
        <v>25</v>
      </c>
      <c r="B49" s="7">
        <v>0.95500000000000007</v>
      </c>
      <c r="C49" s="7">
        <v>0.95</v>
      </c>
      <c r="D49" s="7">
        <v>0.9</v>
      </c>
      <c r="E49" s="7">
        <v>0.85</v>
      </c>
      <c r="F49" s="5"/>
      <c r="G49" s="5"/>
      <c r="H49" s="5"/>
      <c r="I49" s="5"/>
      <c r="J49" s="5"/>
      <c r="K49" s="5"/>
      <c r="L49" s="5"/>
      <c r="M49" s="5"/>
      <c r="N49" s="5"/>
      <c r="O49" s="5"/>
      <c r="P49" s="5"/>
      <c r="Q49" s="5"/>
      <c r="R49" s="5"/>
      <c r="S49" s="5"/>
      <c r="T49" s="5"/>
      <c r="U49" s="5"/>
      <c r="V49" s="5"/>
      <c r="W49" s="5"/>
      <c r="X49" s="5"/>
    </row>
    <row r="50" spans="1:24" x14ac:dyDescent="0.35">
      <c r="A50" s="6" t="s">
        <v>29</v>
      </c>
      <c r="B50" s="7">
        <v>0.96133333333333326</v>
      </c>
      <c r="C50" s="7">
        <v>0.95</v>
      </c>
      <c r="D50" s="7">
        <v>0.9</v>
      </c>
      <c r="E50" s="7">
        <v>0.85</v>
      </c>
      <c r="F50" s="5"/>
      <c r="G50" s="5"/>
      <c r="H50" s="5"/>
      <c r="I50" s="5"/>
      <c r="J50" s="5"/>
      <c r="K50" s="5"/>
      <c r="L50" s="5"/>
      <c r="M50" s="5"/>
      <c r="N50" s="5"/>
      <c r="O50" s="5"/>
      <c r="P50" s="5"/>
      <c r="Q50" s="5"/>
      <c r="R50" s="5"/>
      <c r="S50" s="5"/>
      <c r="T50" s="5"/>
      <c r="U50" s="5"/>
      <c r="V50" s="5"/>
      <c r="W50" s="5"/>
      <c r="X50" s="5"/>
    </row>
    <row r="51" spans="1:24" x14ac:dyDescent="0.35">
      <c r="A51" s="6" t="s">
        <v>18</v>
      </c>
      <c r="B51" s="7">
        <v>0.96040000000000003</v>
      </c>
      <c r="C51" s="7">
        <v>0.95</v>
      </c>
      <c r="D51" s="7">
        <v>0.9</v>
      </c>
      <c r="E51" s="7">
        <v>0.85</v>
      </c>
      <c r="F51" s="5"/>
      <c r="G51" s="5"/>
      <c r="H51" s="5"/>
      <c r="I51" s="5"/>
      <c r="J51" s="5"/>
      <c r="K51" s="5"/>
      <c r="L51" s="5"/>
      <c r="M51" s="5"/>
      <c r="N51" s="5"/>
      <c r="O51" s="5"/>
      <c r="P51" s="5"/>
      <c r="Q51" s="5"/>
      <c r="R51" s="5"/>
      <c r="S51" s="5"/>
      <c r="T51" s="5"/>
      <c r="U51" s="5"/>
      <c r="V51" s="5"/>
      <c r="W51" s="5"/>
      <c r="X51" s="5"/>
    </row>
    <row r="52" spans="1:24" x14ac:dyDescent="0.35">
      <c r="A52" s="6" t="s">
        <v>21</v>
      </c>
      <c r="B52" s="7">
        <v>0.96600000000000008</v>
      </c>
      <c r="C52" s="7">
        <v>0.95</v>
      </c>
      <c r="D52" s="7">
        <v>0.9</v>
      </c>
      <c r="E52" s="7">
        <v>0.85</v>
      </c>
      <c r="F52" s="5"/>
      <c r="G52" s="5"/>
      <c r="H52" s="5"/>
      <c r="I52" s="5"/>
      <c r="J52" s="5"/>
      <c r="K52" s="5"/>
      <c r="L52" s="5"/>
      <c r="M52" s="5"/>
      <c r="N52" s="5"/>
      <c r="O52" s="5"/>
      <c r="P52" s="5"/>
      <c r="Q52" s="5"/>
      <c r="R52" s="5"/>
      <c r="S52" s="5"/>
      <c r="T52" s="5"/>
      <c r="U52" s="5"/>
      <c r="V52" s="5"/>
      <c r="W52" s="5"/>
      <c r="X52" s="5"/>
    </row>
    <row r="53" spans="1:24" x14ac:dyDescent="0.35">
      <c r="A53" s="6" t="s">
        <v>27</v>
      </c>
      <c r="B53" s="7">
        <v>0.95583333333333342</v>
      </c>
      <c r="C53" s="7">
        <v>0.95</v>
      </c>
      <c r="D53" s="7">
        <v>0.9</v>
      </c>
      <c r="E53" s="7">
        <v>0.85</v>
      </c>
      <c r="F53" s="5"/>
      <c r="G53" s="5"/>
      <c r="H53" s="5"/>
      <c r="I53" s="5"/>
      <c r="J53" s="5"/>
      <c r="K53" s="5"/>
      <c r="L53" s="5"/>
      <c r="M53" s="5"/>
      <c r="N53" s="5"/>
      <c r="O53" s="5"/>
      <c r="P53" s="5"/>
      <c r="Q53" s="5"/>
      <c r="R53" s="5"/>
      <c r="S53" s="5"/>
      <c r="T53" s="5"/>
      <c r="U53" s="5"/>
      <c r="V53" s="5"/>
      <c r="W53" s="5"/>
      <c r="X53" s="5"/>
    </row>
    <row r="54" spans="1:24" x14ac:dyDescent="0.35">
      <c r="A54" s="6" t="s">
        <v>41</v>
      </c>
      <c r="B54" s="7">
        <v>0.95285964912280707</v>
      </c>
      <c r="C54" s="7">
        <v>0.95</v>
      </c>
      <c r="D54" s="7">
        <v>0.9</v>
      </c>
      <c r="E54" s="7">
        <v>0.85</v>
      </c>
      <c r="F54" s="5"/>
      <c r="G54" s="5"/>
      <c r="H54" s="5"/>
      <c r="I54" s="5"/>
      <c r="J54" s="5"/>
      <c r="K54" s="5"/>
      <c r="L54" s="5"/>
      <c r="M54" s="5"/>
      <c r="N54" s="5"/>
      <c r="O54" s="5"/>
      <c r="P54" s="5"/>
      <c r="Q54" s="5"/>
      <c r="R54" s="5"/>
      <c r="S54" s="5"/>
      <c r="T54" s="5"/>
      <c r="U54" s="5"/>
      <c r="V54" s="5"/>
      <c r="W54" s="5"/>
      <c r="X54" s="5"/>
    </row>
    <row r="55" spans="1:24" x14ac:dyDescent="0.35">
      <c r="A55" s="5"/>
      <c r="B55" s="5"/>
      <c r="C55" s="5"/>
      <c r="D55" s="5"/>
      <c r="E55" s="5"/>
      <c r="F55" s="5"/>
      <c r="G55" s="5"/>
      <c r="H55" s="5"/>
      <c r="I55" s="5"/>
      <c r="J55" s="5"/>
      <c r="K55" s="5"/>
      <c r="L55" s="5"/>
      <c r="M55" s="5"/>
      <c r="N55" s="5"/>
      <c r="O55" s="5"/>
      <c r="P55" s="5"/>
      <c r="Q55" s="5"/>
      <c r="R55" s="5"/>
      <c r="S55" s="5"/>
      <c r="T55" s="5"/>
      <c r="U55" s="5"/>
      <c r="V55" s="5"/>
      <c r="W55" s="5"/>
      <c r="X55" s="5"/>
    </row>
    <row r="56" spans="1:24" x14ac:dyDescent="0.35">
      <c r="A56" s="5"/>
      <c r="B56" s="5"/>
      <c r="C56" s="5"/>
      <c r="D56" s="5"/>
      <c r="E56" s="5"/>
      <c r="F56" s="5"/>
      <c r="G56" s="5"/>
      <c r="H56" s="5"/>
      <c r="I56" s="5"/>
      <c r="J56" s="5"/>
      <c r="K56" s="5"/>
      <c r="L56" s="5"/>
      <c r="M56" s="5"/>
      <c r="N56" s="5"/>
      <c r="O56" s="5"/>
      <c r="P56" s="5"/>
      <c r="Q56" s="5"/>
      <c r="R56" s="5"/>
      <c r="S56" s="5"/>
      <c r="T56" s="5"/>
      <c r="U56" s="5"/>
      <c r="V56" s="5"/>
      <c r="W56" s="5"/>
      <c r="X56" s="5"/>
    </row>
    <row r="57" spans="1:24" x14ac:dyDescent="0.35">
      <c r="A57" s="5"/>
      <c r="B57" s="5"/>
      <c r="C57" s="5"/>
      <c r="D57" s="5"/>
      <c r="E57" s="5"/>
      <c r="F57" s="5"/>
      <c r="G57" s="5"/>
      <c r="H57" s="5"/>
      <c r="I57" s="5"/>
      <c r="J57" s="5"/>
      <c r="K57" s="5"/>
      <c r="L57" s="5"/>
      <c r="M57" s="5"/>
      <c r="N57" s="5"/>
      <c r="O57" s="5"/>
      <c r="P57" s="5"/>
      <c r="Q57" s="5"/>
      <c r="R57" s="5"/>
      <c r="S57" s="5"/>
      <c r="T57" s="5"/>
      <c r="U57" s="5"/>
      <c r="V57" s="5"/>
      <c r="W57" s="5"/>
      <c r="X57" s="5"/>
    </row>
    <row r="58" spans="1:24" x14ac:dyDescent="0.35">
      <c r="A58" s="5"/>
      <c r="B58" s="5"/>
      <c r="C58" s="5"/>
      <c r="D58" s="5"/>
      <c r="E58" s="5"/>
      <c r="F58" s="5"/>
      <c r="G58" s="5"/>
      <c r="H58" s="5"/>
      <c r="I58" s="5"/>
      <c r="J58" s="5"/>
      <c r="K58" s="5"/>
      <c r="L58" s="5"/>
      <c r="M58" s="5"/>
      <c r="N58" s="5"/>
      <c r="O58" s="5"/>
      <c r="P58" s="5"/>
      <c r="Q58" s="5"/>
      <c r="R58" s="5"/>
      <c r="S58" s="5"/>
      <c r="T58" s="5"/>
      <c r="U58" s="5"/>
      <c r="V58" s="5"/>
      <c r="W58" s="5"/>
      <c r="X58" s="5"/>
    </row>
    <row r="59" spans="1:24" x14ac:dyDescent="0.35">
      <c r="A59" s="5"/>
      <c r="B59" s="5"/>
      <c r="C59" s="5"/>
      <c r="D59" s="5"/>
      <c r="E59" s="5"/>
      <c r="F59" s="5"/>
      <c r="G59" s="5"/>
      <c r="H59" s="5"/>
      <c r="I59" s="5"/>
      <c r="J59" s="5"/>
      <c r="K59" s="5"/>
      <c r="L59" s="5"/>
      <c r="M59" s="5"/>
      <c r="N59" s="5"/>
      <c r="O59" s="5"/>
      <c r="P59" s="5"/>
      <c r="Q59" s="5"/>
      <c r="R59" s="5"/>
      <c r="S59" s="5"/>
      <c r="T59" s="5"/>
      <c r="U59" s="5"/>
      <c r="V59" s="5"/>
      <c r="W59" s="5"/>
      <c r="X59" s="5"/>
    </row>
    <row r="60" spans="1:24" x14ac:dyDescent="0.35">
      <c r="A60" s="5"/>
      <c r="B60" s="5"/>
      <c r="C60" s="5"/>
      <c r="D60" s="5"/>
      <c r="E60" s="5"/>
      <c r="F60" s="5"/>
      <c r="G60" s="5"/>
      <c r="H60" s="5"/>
      <c r="I60" s="5"/>
      <c r="J60" s="5"/>
      <c r="K60" s="5"/>
      <c r="L60" s="5"/>
      <c r="M60" s="5"/>
      <c r="N60" s="5"/>
      <c r="O60" s="5"/>
      <c r="P60" s="5"/>
      <c r="Q60" s="5"/>
      <c r="R60" s="5"/>
      <c r="S60" s="5"/>
      <c r="T60" s="5"/>
      <c r="U60" s="5"/>
      <c r="V60" s="5"/>
      <c r="W60" s="5"/>
      <c r="X60" s="5"/>
    </row>
    <row r="61" spans="1:24" x14ac:dyDescent="0.35">
      <c r="A61" s="5"/>
      <c r="B61" s="5"/>
      <c r="C61" s="5"/>
      <c r="D61" s="5"/>
      <c r="E61" s="5"/>
      <c r="F61" s="5"/>
      <c r="G61" s="5"/>
      <c r="H61" s="5"/>
      <c r="I61" s="5"/>
      <c r="J61" s="5"/>
      <c r="K61" s="5"/>
      <c r="L61" s="5"/>
      <c r="M61" s="5"/>
      <c r="N61" s="5"/>
      <c r="O61" s="5"/>
      <c r="P61" s="5"/>
      <c r="Q61" s="5"/>
      <c r="R61" s="5"/>
      <c r="S61" s="5"/>
      <c r="T61" s="5"/>
      <c r="U61" s="5"/>
      <c r="V61" s="5"/>
      <c r="W61" s="5"/>
      <c r="X61" s="5"/>
    </row>
    <row r="62" spans="1:24" x14ac:dyDescent="0.35">
      <c r="A62" s="5"/>
      <c r="B62" s="5"/>
      <c r="C62" s="5"/>
      <c r="D62" s="5"/>
      <c r="E62" s="5"/>
      <c r="F62" s="5"/>
      <c r="G62" s="5"/>
      <c r="H62" s="5"/>
      <c r="I62" s="5"/>
      <c r="J62" s="5"/>
      <c r="K62" s="5"/>
      <c r="L62" s="5"/>
      <c r="M62" s="5"/>
      <c r="N62" s="5"/>
      <c r="O62" s="5"/>
      <c r="P62" s="5"/>
      <c r="Q62" s="5"/>
      <c r="R62" s="5"/>
      <c r="S62" s="5"/>
      <c r="T62" s="5"/>
      <c r="U62" s="5"/>
      <c r="V62" s="5"/>
      <c r="W62" s="5"/>
      <c r="X62" s="5"/>
    </row>
    <row r="63" spans="1:24" x14ac:dyDescent="0.35">
      <c r="A63" s="5"/>
      <c r="B63" s="5"/>
      <c r="C63" s="5"/>
      <c r="D63" s="5"/>
      <c r="E63" s="5"/>
      <c r="F63" s="5"/>
      <c r="G63" s="5"/>
      <c r="H63" s="5"/>
      <c r="I63" s="5"/>
      <c r="J63" s="5"/>
      <c r="K63" s="5"/>
      <c r="L63" s="5"/>
      <c r="M63" s="5"/>
      <c r="N63" s="5"/>
      <c r="O63" s="5"/>
      <c r="P63" s="5"/>
      <c r="Q63" s="5"/>
      <c r="R63" s="5"/>
      <c r="S63" s="5"/>
      <c r="T63" s="5"/>
      <c r="U63" s="5"/>
      <c r="V63" s="5"/>
      <c r="W63" s="5"/>
      <c r="X63" s="5"/>
    </row>
    <row r="64" spans="1:24" x14ac:dyDescent="0.35">
      <c r="A64" s="5" t="s">
        <v>0</v>
      </c>
      <c r="B64" s="5" t="s" vm="1">
        <v>48</v>
      </c>
      <c r="C64" s="5"/>
      <c r="D64" s="5"/>
      <c r="E64" s="5"/>
      <c r="F64" s="5"/>
      <c r="G64" s="5"/>
      <c r="H64" s="5"/>
      <c r="I64" s="5"/>
      <c r="J64" s="5"/>
      <c r="K64" s="5"/>
      <c r="L64" s="5"/>
      <c r="M64" s="5"/>
      <c r="N64" s="5"/>
      <c r="O64" s="5"/>
      <c r="P64" s="5"/>
      <c r="Q64" s="5"/>
      <c r="R64" s="5"/>
      <c r="S64" s="5"/>
      <c r="T64" s="5"/>
      <c r="U64" s="5"/>
      <c r="V64" s="5"/>
      <c r="W64" s="5"/>
      <c r="X64" s="5"/>
    </row>
    <row r="65" spans="1:24" x14ac:dyDescent="0.35">
      <c r="A65" s="5" t="s">
        <v>1</v>
      </c>
      <c r="B65" s="5" t="s" vm="2">
        <v>48</v>
      </c>
      <c r="C65" s="5"/>
      <c r="D65" s="5"/>
      <c r="E65" s="5"/>
      <c r="F65" s="5"/>
      <c r="G65" s="5"/>
      <c r="H65" s="5"/>
      <c r="I65" s="5"/>
      <c r="J65" s="5"/>
      <c r="K65" s="5"/>
      <c r="L65" s="5"/>
      <c r="M65" s="5"/>
      <c r="N65" s="5"/>
      <c r="O65" s="5"/>
      <c r="P65" s="5"/>
      <c r="Q65" s="5"/>
      <c r="R65" s="5"/>
      <c r="S65" s="5"/>
      <c r="T65" s="5"/>
      <c r="U65" s="5"/>
      <c r="V65" s="5"/>
      <c r="W65" s="5"/>
      <c r="X65" s="5"/>
    </row>
    <row r="66" spans="1:24" x14ac:dyDescent="0.35">
      <c r="A66" s="5"/>
      <c r="B66" s="5"/>
      <c r="C66" s="5"/>
      <c r="D66" s="5"/>
      <c r="E66" s="5"/>
      <c r="F66" s="5"/>
      <c r="G66" s="5"/>
      <c r="H66" s="5"/>
      <c r="I66" s="5"/>
      <c r="J66" s="5"/>
      <c r="K66" s="5"/>
      <c r="L66" s="5"/>
      <c r="M66" s="5"/>
      <c r="N66" s="5"/>
      <c r="O66" s="5"/>
      <c r="P66" s="5"/>
      <c r="Q66" s="5"/>
      <c r="R66" s="5"/>
      <c r="S66" s="5"/>
      <c r="T66" s="5"/>
      <c r="U66" s="5"/>
      <c r="V66" s="5"/>
      <c r="W66" s="5"/>
      <c r="X66" s="5"/>
    </row>
    <row r="67" spans="1:24" x14ac:dyDescent="0.35">
      <c r="A67" s="5" t="s">
        <v>40</v>
      </c>
      <c r="B67" s="5" t="s">
        <v>42</v>
      </c>
      <c r="C67" s="5"/>
      <c r="D67" s="5"/>
      <c r="E67" s="5"/>
      <c r="F67" s="5"/>
      <c r="G67" s="5"/>
      <c r="H67" s="5"/>
      <c r="I67" s="5"/>
      <c r="J67" s="5"/>
      <c r="K67" s="5"/>
      <c r="L67" s="5"/>
      <c r="M67" s="5"/>
      <c r="N67" s="5"/>
      <c r="O67" s="5"/>
      <c r="P67" s="5"/>
      <c r="Q67" s="5"/>
      <c r="R67" s="5"/>
      <c r="S67" s="5"/>
      <c r="T67" s="5"/>
      <c r="U67" s="5"/>
      <c r="V67" s="5"/>
      <c r="W67" s="5"/>
      <c r="X67" s="5"/>
    </row>
    <row r="68" spans="1:24" x14ac:dyDescent="0.35">
      <c r="A68" s="6" t="s">
        <v>24</v>
      </c>
      <c r="B68" s="8">
        <v>0.12344797687192353</v>
      </c>
      <c r="C68" s="5"/>
      <c r="D68" s="5"/>
      <c r="E68" s="5"/>
      <c r="F68" s="5"/>
      <c r="G68" s="5"/>
      <c r="H68" s="5"/>
      <c r="I68" s="5"/>
      <c r="J68" s="5"/>
      <c r="K68" s="5"/>
      <c r="L68" s="5"/>
      <c r="M68" s="5"/>
      <c r="N68" s="5"/>
      <c r="O68" s="5"/>
      <c r="P68" s="5"/>
      <c r="Q68" s="5"/>
      <c r="R68" s="5"/>
      <c r="S68" s="5"/>
      <c r="T68" s="5"/>
      <c r="U68" s="5"/>
      <c r="V68" s="5"/>
      <c r="W68" s="5"/>
      <c r="X68" s="5"/>
    </row>
    <row r="69" spans="1:24" x14ac:dyDescent="0.35">
      <c r="A69" s="6" t="s">
        <v>13</v>
      </c>
      <c r="B69" s="8">
        <v>2.9980895574984671E-2</v>
      </c>
      <c r="C69" s="5"/>
      <c r="D69" s="5"/>
      <c r="E69" s="5"/>
      <c r="F69" s="5"/>
      <c r="G69" s="5"/>
      <c r="H69" s="5"/>
      <c r="I69" s="5"/>
      <c r="J69" s="5"/>
      <c r="K69" s="5"/>
      <c r="L69" s="5"/>
      <c r="M69" s="5"/>
      <c r="N69" s="5"/>
      <c r="O69" s="5"/>
      <c r="P69" s="5"/>
      <c r="Q69" s="5"/>
      <c r="R69" s="5"/>
      <c r="S69" s="5"/>
      <c r="T69" s="5"/>
      <c r="U69" s="5"/>
      <c r="V69" s="5"/>
      <c r="W69" s="5"/>
      <c r="X69" s="5"/>
    </row>
    <row r="70" spans="1:24" x14ac:dyDescent="0.35">
      <c r="A70" s="6" t="s">
        <v>14</v>
      </c>
      <c r="B70" s="8">
        <v>1.7721087234803225E-2</v>
      </c>
      <c r="C70" s="5"/>
      <c r="D70" s="5"/>
      <c r="E70" s="5"/>
      <c r="F70" s="5"/>
      <c r="G70" s="5"/>
      <c r="H70" s="5"/>
      <c r="I70" s="5"/>
      <c r="J70" s="5"/>
      <c r="K70" s="5"/>
      <c r="L70" s="5"/>
      <c r="M70" s="5"/>
      <c r="N70" s="5"/>
      <c r="O70" s="5"/>
      <c r="P70" s="5"/>
      <c r="Q70" s="5"/>
      <c r="R70" s="5"/>
      <c r="S70" s="5"/>
      <c r="T70" s="5"/>
      <c r="U70" s="5"/>
      <c r="V70" s="5"/>
      <c r="W70" s="5"/>
      <c r="X70" s="5"/>
    </row>
    <row r="71" spans="1:24" x14ac:dyDescent="0.35">
      <c r="A71" s="6" t="s">
        <v>26</v>
      </c>
      <c r="B71" s="8">
        <v>0.10722080107856963</v>
      </c>
      <c r="C71" s="5"/>
      <c r="D71" s="5"/>
      <c r="E71" s="5"/>
      <c r="F71" s="5"/>
      <c r="G71" s="5"/>
      <c r="H71" s="5"/>
      <c r="I71" s="5"/>
      <c r="J71" s="5"/>
      <c r="K71" s="5"/>
      <c r="L71" s="5"/>
      <c r="M71" s="5"/>
      <c r="N71" s="5"/>
      <c r="O71" s="5"/>
      <c r="P71" s="5"/>
      <c r="Q71" s="5"/>
      <c r="R71" s="5"/>
      <c r="S71" s="5"/>
      <c r="T71" s="5"/>
      <c r="U71" s="5"/>
      <c r="V71" s="5"/>
      <c r="W71" s="5"/>
      <c r="X71" s="5"/>
    </row>
    <row r="72" spans="1:24" x14ac:dyDescent="0.35">
      <c r="A72" s="6" t="s">
        <v>17</v>
      </c>
      <c r="B72" s="8">
        <v>1.9676794990652603E-2</v>
      </c>
      <c r="C72" s="5"/>
      <c r="D72" s="5"/>
      <c r="E72" s="5"/>
      <c r="F72" s="5"/>
      <c r="G72" s="5"/>
      <c r="H72" s="5"/>
      <c r="I72" s="5"/>
      <c r="J72" s="5"/>
      <c r="K72" s="5"/>
      <c r="L72" s="5"/>
      <c r="M72" s="5"/>
      <c r="N72" s="5"/>
      <c r="O72" s="5"/>
      <c r="P72" s="5"/>
      <c r="Q72" s="5"/>
      <c r="R72" s="5"/>
      <c r="S72" s="5"/>
      <c r="T72" s="5"/>
      <c r="U72" s="5"/>
      <c r="V72" s="5"/>
      <c r="W72" s="5"/>
      <c r="X72" s="5"/>
    </row>
    <row r="73" spans="1:24" x14ac:dyDescent="0.35">
      <c r="A73" s="6" t="s">
        <v>20</v>
      </c>
      <c r="B73" s="8">
        <v>0.1538888779334846</v>
      </c>
      <c r="C73" s="5"/>
      <c r="D73" s="5"/>
      <c r="E73" s="5"/>
      <c r="F73" s="5"/>
      <c r="G73" s="5"/>
      <c r="H73" s="5"/>
      <c r="I73" s="5"/>
      <c r="J73" s="5"/>
      <c r="K73" s="5"/>
      <c r="L73" s="5"/>
      <c r="M73" s="5"/>
      <c r="N73" s="5"/>
      <c r="O73" s="5"/>
      <c r="P73" s="5"/>
      <c r="Q73" s="5"/>
      <c r="R73" s="5"/>
      <c r="S73" s="5"/>
      <c r="T73" s="5"/>
      <c r="U73" s="5"/>
      <c r="V73" s="5"/>
      <c r="W73" s="5"/>
      <c r="X73" s="5"/>
    </row>
    <row r="74" spans="1:24" x14ac:dyDescent="0.35">
      <c r="A74" s="6" t="s">
        <v>8</v>
      </c>
      <c r="B74" s="8">
        <v>2.1379205557581056E-2</v>
      </c>
      <c r="C74" s="5"/>
      <c r="D74" s="5"/>
      <c r="E74" s="5"/>
      <c r="F74" s="5"/>
      <c r="G74" s="5"/>
      <c r="H74" s="5"/>
      <c r="I74" s="5"/>
      <c r="J74" s="5"/>
      <c r="K74" s="5"/>
      <c r="L74" s="5"/>
      <c r="M74" s="5"/>
      <c r="N74" s="5"/>
      <c r="O74" s="5"/>
      <c r="P74" s="5"/>
      <c r="Q74" s="5"/>
      <c r="R74" s="5"/>
      <c r="S74" s="5"/>
      <c r="T74" s="5"/>
      <c r="U74" s="5"/>
      <c r="V74" s="5"/>
      <c r="W74" s="5"/>
      <c r="X74" s="5"/>
    </row>
    <row r="75" spans="1:24" x14ac:dyDescent="0.35">
      <c r="A75" s="6" t="s">
        <v>7</v>
      </c>
      <c r="B75" s="8">
        <v>5.0949706896183E-2</v>
      </c>
      <c r="C75" s="5"/>
      <c r="D75" s="5"/>
      <c r="E75" s="5"/>
      <c r="F75" s="5"/>
      <c r="G75" s="5"/>
      <c r="H75" s="5"/>
      <c r="I75" s="5"/>
      <c r="J75" s="5"/>
      <c r="K75" s="5"/>
      <c r="L75" s="5"/>
      <c r="M75" s="5"/>
      <c r="N75" s="5"/>
      <c r="O75" s="5"/>
      <c r="P75" s="5"/>
      <c r="Q75" s="5"/>
      <c r="R75" s="5"/>
      <c r="S75" s="5"/>
      <c r="T75" s="5"/>
      <c r="U75" s="5"/>
      <c r="V75" s="5"/>
      <c r="W75" s="5"/>
      <c r="X75" s="5"/>
    </row>
    <row r="76" spans="1:24" x14ac:dyDescent="0.35">
      <c r="A76" s="6" t="s">
        <v>9</v>
      </c>
      <c r="B76" s="8">
        <v>2.2795750679038976E-3</v>
      </c>
    </row>
    <row r="77" spans="1:24" x14ac:dyDescent="0.35">
      <c r="A77" s="6" t="s">
        <v>6</v>
      </c>
      <c r="B77" s="8">
        <v>3.2933014187958749E-2</v>
      </c>
    </row>
    <row r="78" spans="1:24" x14ac:dyDescent="0.35">
      <c r="A78" s="6" t="s">
        <v>11</v>
      </c>
      <c r="B78" s="8">
        <v>1.8892730131101324E-2</v>
      </c>
    </row>
    <row r="79" spans="1:24" x14ac:dyDescent="0.35">
      <c r="A79" s="6" t="s">
        <v>25</v>
      </c>
      <c r="B79" s="8">
        <v>7.2468592455478403E-2</v>
      </c>
    </row>
    <row r="80" spans="1:24" x14ac:dyDescent="0.35">
      <c r="A80" s="6" t="s">
        <v>29</v>
      </c>
      <c r="B80" s="8">
        <v>9.9678860671230649E-2</v>
      </c>
    </row>
    <row r="81" spans="1:2" x14ac:dyDescent="0.35">
      <c r="A81" s="6" t="s">
        <v>18</v>
      </c>
      <c r="B81" s="8">
        <v>6.3670460557288991E-2</v>
      </c>
    </row>
    <row r="82" spans="1:2" x14ac:dyDescent="0.35">
      <c r="A82" s="6" t="s">
        <v>21</v>
      </c>
      <c r="B82" s="8">
        <v>1.9377547562074184E-2</v>
      </c>
    </row>
    <row r="83" spans="1:2" x14ac:dyDescent="0.35">
      <c r="A83" s="6" t="s">
        <v>27</v>
      </c>
      <c r="B83" s="8">
        <v>0.1664338732287815</v>
      </c>
    </row>
    <row r="84" spans="1:2" x14ac:dyDescent="0.35">
      <c r="A84" s="6" t="s">
        <v>41</v>
      </c>
      <c r="B84" s="8">
        <v>1</v>
      </c>
    </row>
  </sheetData>
  <mergeCells count="1">
    <mergeCell ref="L1:O1"/>
  </mergeCell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00070F-E2F3-458E-B6F4-83EE1D4727CC}">
  <sheetPr codeName="Sheet6"/>
  <dimension ref="A1:M73"/>
  <sheetViews>
    <sheetView topLeftCell="A25" workbookViewId="0">
      <selection activeCell="G10" sqref="G10"/>
    </sheetView>
  </sheetViews>
  <sheetFormatPr defaultRowHeight="14.5" x14ac:dyDescent="0.35"/>
  <cols>
    <col min="1" max="1" width="16.6328125" bestFit="1" customWidth="1"/>
    <col min="2" max="2" width="16.1796875" bestFit="1" customWidth="1"/>
    <col min="3" max="3" width="8.26953125" bestFit="1" customWidth="1"/>
    <col min="4" max="4" width="5.90625" bestFit="1" customWidth="1"/>
    <col min="5" max="5" width="14.90625" bestFit="1" customWidth="1"/>
    <col min="6" max="6" width="27.81640625" customWidth="1"/>
    <col min="10" max="10" width="14.26953125" bestFit="1" customWidth="1"/>
    <col min="11" max="11" width="16" bestFit="1" customWidth="1"/>
    <col min="12" max="12" width="9" bestFit="1" customWidth="1"/>
    <col min="13" max="13" width="7.54296875" bestFit="1" customWidth="1"/>
  </cols>
  <sheetData>
    <row r="1" spans="1:13" s="3" customFormat="1" x14ac:dyDescent="0.35">
      <c r="J1" s="43" t="s">
        <v>49</v>
      </c>
      <c r="K1" s="43"/>
      <c r="L1" s="43"/>
      <c r="M1" s="43"/>
    </row>
    <row r="2" spans="1:13" s="3" customFormat="1" x14ac:dyDescent="0.35">
      <c r="J2" s="9" t="s">
        <v>50</v>
      </c>
      <c r="K2" s="9" t="s">
        <v>51</v>
      </c>
      <c r="L2" s="9" t="s">
        <v>53</v>
      </c>
      <c r="M2" s="10" t="s">
        <v>54</v>
      </c>
    </row>
    <row r="3" spans="1:13" s="3" customFormat="1" x14ac:dyDescent="0.35">
      <c r="A3" s="18" t="s">
        <v>55</v>
      </c>
      <c r="B3" s="18" t="s">
        <v>43</v>
      </c>
      <c r="C3" s="18"/>
      <c r="D3" s="18"/>
      <c r="E3" s="18"/>
      <c r="J3" s="11">
        <f>GETPIVOTDATA("[Measures].[Sum of Chi Phí- Dài]",$A$3)</f>
        <v>2666148970.4262152</v>
      </c>
      <c r="K3" s="10">
        <f>COUNTA(A29:A41)-2</f>
        <v>5</v>
      </c>
      <c r="L3" s="12">
        <f>J3/GETPIVOTDATA("[Measures].[Sum of Chi Phí- Dài]",$A$18)</f>
        <v>1</v>
      </c>
      <c r="M3" s="13">
        <f>GETPIVOTDATA("[Measures].[Average of KPI-dài]",$A$30)</f>
        <v>0.98874666666666677</v>
      </c>
    </row>
    <row r="4" spans="1:13" s="3" customFormat="1" x14ac:dyDescent="0.35">
      <c r="A4" s="18" t="s">
        <v>40</v>
      </c>
      <c r="B4" s="18" t="s">
        <v>5</v>
      </c>
      <c r="C4" s="18" t="s">
        <v>28</v>
      </c>
      <c r="D4" s="18" t="s">
        <v>22</v>
      </c>
      <c r="E4" s="18" t="s">
        <v>41</v>
      </c>
    </row>
    <row r="5" spans="1:13" s="3" customFormat="1" x14ac:dyDescent="0.35">
      <c r="A5" s="19">
        <v>4</v>
      </c>
      <c r="B5" s="18">
        <v>37576000</v>
      </c>
      <c r="C5" s="18">
        <v>758008282.81868291</v>
      </c>
      <c r="D5" s="18">
        <v>221062000</v>
      </c>
      <c r="E5" s="18">
        <v>1016646282.8186829</v>
      </c>
    </row>
    <row r="6" spans="1:13" s="3" customFormat="1" x14ac:dyDescent="0.35">
      <c r="A6" s="19">
        <v>5</v>
      </c>
      <c r="B6" s="18">
        <v>86907000</v>
      </c>
      <c r="C6" s="18">
        <v>631720715.50957608</v>
      </c>
      <c r="D6" s="18">
        <v>360541000</v>
      </c>
      <c r="E6" s="18">
        <v>1079168715.5095761</v>
      </c>
    </row>
    <row r="7" spans="1:13" s="3" customFormat="1" x14ac:dyDescent="0.35">
      <c r="A7" s="19">
        <v>6</v>
      </c>
      <c r="B7" s="18">
        <v>16948000</v>
      </c>
      <c r="C7" s="18">
        <v>468671972.097956</v>
      </c>
      <c r="D7" s="18">
        <v>84714000</v>
      </c>
      <c r="E7" s="18">
        <v>570333972.09795594</v>
      </c>
    </row>
    <row r="8" spans="1:13" s="3" customFormat="1" x14ac:dyDescent="0.35">
      <c r="A8" s="19" t="s">
        <v>41</v>
      </c>
      <c r="B8" s="18">
        <v>141431000</v>
      </c>
      <c r="C8" s="18">
        <v>1858400970.4262149</v>
      </c>
      <c r="D8" s="18">
        <v>666317000</v>
      </c>
      <c r="E8" s="18">
        <v>2666148970.4262152</v>
      </c>
    </row>
    <row r="9" spans="1:13" s="3" customFormat="1" x14ac:dyDescent="0.35"/>
    <row r="10" spans="1:13" s="3" customFormat="1" x14ac:dyDescent="0.35"/>
    <row r="11" spans="1:13" s="3" customFormat="1" x14ac:dyDescent="0.35"/>
    <row r="12" spans="1:13" s="3" customFormat="1" x14ac:dyDescent="0.35"/>
    <row r="13" spans="1:13" s="3" customFormat="1" x14ac:dyDescent="0.35"/>
    <row r="14" spans="1:13" s="3" customFormat="1" x14ac:dyDescent="0.35"/>
    <row r="15" spans="1:13" s="3" customFormat="1" x14ac:dyDescent="0.35"/>
    <row r="16" spans="1:13" s="3" customFormat="1" x14ac:dyDescent="0.35"/>
    <row r="17" spans="1:5" s="3" customFormat="1" x14ac:dyDescent="0.35"/>
    <row r="18" spans="1:5" s="3" customFormat="1" x14ac:dyDescent="0.35">
      <c r="A18" s="3" t="s">
        <v>55</v>
      </c>
      <c r="B18" s="3" t="s">
        <v>43</v>
      </c>
    </row>
    <row r="19" spans="1:5" s="3" customFormat="1" x14ac:dyDescent="0.35">
      <c r="A19" s="3" t="s">
        <v>40</v>
      </c>
      <c r="B19" s="3" t="s">
        <v>5</v>
      </c>
      <c r="C19" s="3" t="s">
        <v>28</v>
      </c>
      <c r="D19" s="3" t="s">
        <v>22</v>
      </c>
      <c r="E19" s="3" t="s">
        <v>41</v>
      </c>
    </row>
    <row r="20" spans="1:5" s="3" customFormat="1" x14ac:dyDescent="0.35">
      <c r="A20" s="14">
        <v>4</v>
      </c>
      <c r="B20" s="3">
        <v>37576000</v>
      </c>
      <c r="C20" s="3">
        <v>758008282.81868291</v>
      </c>
      <c r="D20" s="3">
        <v>221062000</v>
      </c>
      <c r="E20" s="3">
        <v>1016646282.8186829</v>
      </c>
    </row>
    <row r="21" spans="1:5" s="3" customFormat="1" x14ac:dyDescent="0.35">
      <c r="A21" s="14">
        <v>5</v>
      </c>
      <c r="B21" s="3">
        <v>86907000</v>
      </c>
      <c r="C21" s="3">
        <v>631720715.50957608</v>
      </c>
      <c r="D21" s="3">
        <v>360541000</v>
      </c>
      <c r="E21" s="3">
        <v>1079168715.5095761</v>
      </c>
    </row>
    <row r="22" spans="1:5" s="3" customFormat="1" x14ac:dyDescent="0.35">
      <c r="A22" s="14">
        <v>6</v>
      </c>
      <c r="B22" s="3">
        <v>16948000</v>
      </c>
      <c r="C22" s="3">
        <v>468671972.097956</v>
      </c>
      <c r="D22" s="3">
        <v>84714000</v>
      </c>
      <c r="E22" s="3">
        <v>570333972.09795594</v>
      </c>
    </row>
    <row r="23" spans="1:5" s="3" customFormat="1" x14ac:dyDescent="0.35">
      <c r="A23" s="14" t="s">
        <v>41</v>
      </c>
      <c r="B23" s="3">
        <v>141431000</v>
      </c>
      <c r="C23" s="3">
        <v>1858400970.4262149</v>
      </c>
      <c r="D23" s="3">
        <v>666317000</v>
      </c>
      <c r="E23" s="3">
        <v>2666148970.4262152</v>
      </c>
    </row>
    <row r="24" spans="1:5" s="3" customFormat="1" x14ac:dyDescent="0.35"/>
    <row r="25" spans="1:5" s="3" customFormat="1" x14ac:dyDescent="0.35"/>
    <row r="26" spans="1:5" s="3" customFormat="1" x14ac:dyDescent="0.35"/>
    <row r="27" spans="1:5" s="3" customFormat="1" x14ac:dyDescent="0.35"/>
    <row r="28" spans="1:5" s="15" customFormat="1" x14ac:dyDescent="0.35"/>
    <row r="29" spans="1:5" s="15" customFormat="1" x14ac:dyDescent="0.35"/>
    <row r="30" spans="1:5" s="15" customFormat="1" x14ac:dyDescent="0.35">
      <c r="A30" s="15" t="s">
        <v>40</v>
      </c>
      <c r="B30" s="15" t="s">
        <v>56</v>
      </c>
      <c r="C30" s="15" t="s">
        <v>45</v>
      </c>
      <c r="D30" s="15" t="s">
        <v>46</v>
      </c>
      <c r="E30" s="15" t="s">
        <v>47</v>
      </c>
    </row>
    <row r="31" spans="1:5" s="15" customFormat="1" x14ac:dyDescent="0.35">
      <c r="A31" s="16" t="s">
        <v>31</v>
      </c>
      <c r="B31" s="17">
        <v>0.97099999999999997</v>
      </c>
      <c r="C31" s="17">
        <v>0.95</v>
      </c>
      <c r="D31" s="17">
        <v>0.9</v>
      </c>
      <c r="E31" s="17">
        <v>0.85</v>
      </c>
    </row>
    <row r="32" spans="1:5" s="15" customFormat="1" x14ac:dyDescent="0.35">
      <c r="A32" s="16" t="s">
        <v>20</v>
      </c>
      <c r="B32" s="17">
        <v>1</v>
      </c>
      <c r="C32" s="17">
        <v>0.95</v>
      </c>
      <c r="D32" s="17">
        <v>0.9</v>
      </c>
      <c r="E32" s="17">
        <v>0.85</v>
      </c>
    </row>
    <row r="33" spans="1:5" s="15" customFormat="1" x14ac:dyDescent="0.35">
      <c r="A33" s="16" t="s">
        <v>11</v>
      </c>
      <c r="B33" s="17">
        <v>1</v>
      </c>
      <c r="C33" s="17">
        <v>0.95</v>
      </c>
      <c r="D33" s="17">
        <v>0.9</v>
      </c>
      <c r="E33" s="17">
        <v>0.85</v>
      </c>
    </row>
    <row r="34" spans="1:5" s="15" customFormat="1" x14ac:dyDescent="0.35">
      <c r="A34" s="16" t="s">
        <v>18</v>
      </c>
      <c r="B34" s="17">
        <v>0.9909</v>
      </c>
      <c r="C34" s="17">
        <v>0.95</v>
      </c>
      <c r="D34" s="17">
        <v>0.9</v>
      </c>
      <c r="E34" s="17">
        <v>0.85</v>
      </c>
    </row>
    <row r="35" spans="1:5" s="15" customFormat="1" x14ac:dyDescent="0.35">
      <c r="A35" s="16" t="s">
        <v>27</v>
      </c>
      <c r="B35" s="17">
        <v>0.98183333333333334</v>
      </c>
      <c r="C35" s="17">
        <v>0.95</v>
      </c>
      <c r="D35" s="17">
        <v>0.9</v>
      </c>
      <c r="E35" s="17">
        <v>0.85</v>
      </c>
    </row>
    <row r="36" spans="1:5" s="15" customFormat="1" x14ac:dyDescent="0.35">
      <c r="A36" s="16" t="s">
        <v>41</v>
      </c>
      <c r="B36" s="17">
        <v>0.98874666666666677</v>
      </c>
      <c r="C36" s="17">
        <v>0.95</v>
      </c>
      <c r="D36" s="17">
        <v>0.9</v>
      </c>
      <c r="E36" s="17">
        <v>0.85</v>
      </c>
    </row>
    <row r="37" spans="1:5" s="15" customFormat="1" x14ac:dyDescent="0.35">
      <c r="A37"/>
      <c r="B37"/>
      <c r="C37"/>
      <c r="D37"/>
      <c r="E37"/>
    </row>
    <row r="38" spans="1:5" s="15" customFormat="1" x14ac:dyDescent="0.35">
      <c r="A38"/>
      <c r="B38"/>
      <c r="C38"/>
      <c r="D38"/>
      <c r="E38"/>
    </row>
    <row r="39" spans="1:5" s="15" customFormat="1" x14ac:dyDescent="0.35">
      <c r="A39"/>
      <c r="B39"/>
      <c r="C39"/>
      <c r="D39"/>
      <c r="E39"/>
    </row>
    <row r="40" spans="1:5" s="15" customFormat="1" x14ac:dyDescent="0.35"/>
    <row r="41" spans="1:5" s="15" customFormat="1" x14ac:dyDescent="0.35"/>
    <row r="42" spans="1:5" s="15" customFormat="1" x14ac:dyDescent="0.35"/>
    <row r="43" spans="1:5" s="15" customFormat="1" x14ac:dyDescent="0.35"/>
    <row r="44" spans="1:5" s="15" customFormat="1" x14ac:dyDescent="0.35"/>
    <row r="45" spans="1:5" s="15" customFormat="1" x14ac:dyDescent="0.35"/>
    <row r="46" spans="1:5" s="15" customFormat="1" x14ac:dyDescent="0.35">
      <c r="A46" s="15" t="s">
        <v>0</v>
      </c>
      <c r="B46" s="15" t="s" vm="3">
        <v>48</v>
      </c>
    </row>
    <row r="47" spans="1:5" s="15" customFormat="1" x14ac:dyDescent="0.35">
      <c r="A47" s="15" t="s">
        <v>1</v>
      </c>
      <c r="B47" s="15" t="s" vm="4">
        <v>28</v>
      </c>
    </row>
    <row r="48" spans="1:5" s="15" customFormat="1" x14ac:dyDescent="0.35"/>
    <row r="49" spans="1:2" s="15" customFormat="1" x14ac:dyDescent="0.35">
      <c r="A49" s="15" t="s">
        <v>40</v>
      </c>
      <c r="B49" s="15" t="s">
        <v>55</v>
      </c>
    </row>
    <row r="50" spans="1:2" s="15" customFormat="1" x14ac:dyDescent="0.35">
      <c r="A50" s="16" t="s">
        <v>31</v>
      </c>
      <c r="B50" s="20">
        <v>0.34205479901381353</v>
      </c>
    </row>
    <row r="51" spans="1:2" s="15" customFormat="1" x14ac:dyDescent="0.35">
      <c r="A51" s="16" t="s">
        <v>20</v>
      </c>
      <c r="B51" s="20">
        <v>0.11199628245580689</v>
      </c>
    </row>
    <row r="52" spans="1:2" s="15" customFormat="1" x14ac:dyDescent="0.35">
      <c r="A52" s="16" t="s">
        <v>11</v>
      </c>
      <c r="B52" s="20">
        <v>0.20808426499654237</v>
      </c>
    </row>
    <row r="53" spans="1:2" s="15" customFormat="1" x14ac:dyDescent="0.35">
      <c r="A53" s="16" t="s">
        <v>18</v>
      </c>
      <c r="B53" s="20">
        <v>0.17747703818964142</v>
      </c>
    </row>
    <row r="54" spans="1:2" s="15" customFormat="1" x14ac:dyDescent="0.35">
      <c r="A54" s="16" t="s">
        <v>27</v>
      </c>
      <c r="B54" s="20">
        <v>0.16038761534419582</v>
      </c>
    </row>
    <row r="55" spans="1:2" s="15" customFormat="1" x14ac:dyDescent="0.35">
      <c r="A55" s="16" t="s">
        <v>41</v>
      </c>
      <c r="B55" s="20">
        <v>1</v>
      </c>
    </row>
    <row r="56" spans="1:2" s="15" customFormat="1" x14ac:dyDescent="0.35">
      <c r="A56"/>
      <c r="B56"/>
    </row>
    <row r="57" spans="1:2" s="15" customFormat="1" x14ac:dyDescent="0.35">
      <c r="A57"/>
      <c r="B57"/>
    </row>
    <row r="58" spans="1:2" s="15" customFormat="1" x14ac:dyDescent="0.35">
      <c r="A58"/>
      <c r="B58"/>
    </row>
    <row r="59" spans="1:2" s="15" customFormat="1" x14ac:dyDescent="0.35"/>
    <row r="60" spans="1:2" s="15" customFormat="1" x14ac:dyDescent="0.35"/>
    <row r="61" spans="1:2" s="15" customFormat="1" x14ac:dyDescent="0.35"/>
    <row r="62" spans="1:2" s="15" customFormat="1" x14ac:dyDescent="0.35"/>
    <row r="63" spans="1:2" s="15" customFormat="1" x14ac:dyDescent="0.35"/>
    <row r="64" spans="1:2" s="15" customFormat="1" x14ac:dyDescent="0.35"/>
    <row r="65" s="15" customFormat="1" x14ac:dyDescent="0.35"/>
    <row r="66" s="15" customFormat="1" x14ac:dyDescent="0.35"/>
    <row r="67" s="15" customFormat="1" x14ac:dyDescent="0.35"/>
    <row r="68" s="15" customFormat="1" x14ac:dyDescent="0.35"/>
    <row r="69" s="15" customFormat="1" x14ac:dyDescent="0.35"/>
    <row r="70" s="15" customFormat="1" x14ac:dyDescent="0.35"/>
    <row r="71" s="15" customFormat="1" x14ac:dyDescent="0.35"/>
    <row r="72" s="15" customFormat="1" x14ac:dyDescent="0.35"/>
    <row r="73" s="15" customFormat="1" x14ac:dyDescent="0.35"/>
  </sheetData>
  <mergeCells count="1">
    <mergeCell ref="J1:M1"/>
  </mergeCell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211E64-B159-4CDD-91F5-28AE0339B42F}">
  <sheetPr codeName="Sheet7"/>
  <dimension ref="A1:O54"/>
  <sheetViews>
    <sheetView workbookViewId="0">
      <selection activeCell="G10" sqref="G10"/>
    </sheetView>
  </sheetViews>
  <sheetFormatPr defaultRowHeight="14.5" x14ac:dyDescent="0.35"/>
  <cols>
    <col min="1" max="1" width="12.36328125" bestFit="1" customWidth="1"/>
    <col min="2" max="2" width="16.7265625" bestFit="1" customWidth="1"/>
    <col min="3" max="4" width="6.81640625" bestFit="1" customWidth="1"/>
    <col min="5" max="5" width="14.90625" bestFit="1" customWidth="1"/>
    <col min="6" max="6" width="8" bestFit="1" customWidth="1"/>
    <col min="7" max="7" width="12" bestFit="1" customWidth="1"/>
    <col min="8" max="8" width="7" bestFit="1" customWidth="1"/>
    <col min="9" max="9" width="11" bestFit="1" customWidth="1"/>
    <col min="10" max="10" width="12" bestFit="1" customWidth="1"/>
    <col min="11" max="11" width="5.81640625" bestFit="1" customWidth="1"/>
    <col min="12" max="12" width="6.453125" bestFit="1" customWidth="1"/>
    <col min="13" max="13" width="16.1796875" bestFit="1" customWidth="1"/>
    <col min="14" max="14" width="18" bestFit="1" customWidth="1"/>
    <col min="15" max="15" width="6.1796875" bestFit="1" customWidth="1"/>
    <col min="16" max="16" width="6.453125" bestFit="1" customWidth="1"/>
    <col min="17" max="17" width="16.1796875" bestFit="1" customWidth="1"/>
    <col min="18" max="18" width="18" bestFit="1" customWidth="1"/>
    <col min="19" max="19" width="5.81640625" bestFit="1" customWidth="1"/>
    <col min="20" max="20" width="6.453125" bestFit="1" customWidth="1"/>
    <col min="21" max="21" width="16.1796875" bestFit="1" customWidth="1"/>
    <col min="22" max="22" width="18" bestFit="1" customWidth="1"/>
    <col min="23" max="23" width="5.81640625" bestFit="1" customWidth="1"/>
    <col min="24" max="24" width="6.453125" bestFit="1" customWidth="1"/>
    <col min="25" max="25" width="16.1796875" bestFit="1" customWidth="1"/>
    <col min="26" max="26" width="18" bestFit="1" customWidth="1"/>
    <col min="27" max="27" width="5.81640625" bestFit="1" customWidth="1"/>
    <col min="28" max="28" width="6.453125" bestFit="1" customWidth="1"/>
    <col min="29" max="29" width="16.1796875" bestFit="1" customWidth="1"/>
    <col min="30" max="30" width="18" bestFit="1" customWidth="1"/>
    <col min="31" max="31" width="5.81640625" bestFit="1" customWidth="1"/>
    <col min="32" max="32" width="6.453125" bestFit="1" customWidth="1"/>
    <col min="33" max="33" width="16.1796875" bestFit="1" customWidth="1"/>
    <col min="34" max="34" width="23" bestFit="1" customWidth="1"/>
    <col min="35" max="35" width="10.7265625" bestFit="1" customWidth="1"/>
    <col min="36" max="36" width="11.26953125" bestFit="1" customWidth="1"/>
    <col min="37" max="37" width="21.1796875" bestFit="1" customWidth="1"/>
  </cols>
  <sheetData>
    <row r="1" spans="1:15" s="3" customFormat="1" x14ac:dyDescent="0.35"/>
    <row r="2" spans="1:15" s="3" customFormat="1" x14ac:dyDescent="0.35">
      <c r="L2" s="43" t="s">
        <v>49</v>
      </c>
      <c r="M2" s="43"/>
      <c r="N2" s="43"/>
      <c r="O2" s="43"/>
    </row>
    <row r="3" spans="1:15" s="3" customFormat="1" x14ac:dyDescent="0.35">
      <c r="L3" s="9" t="s">
        <v>50</v>
      </c>
      <c r="M3" s="9" t="s">
        <v>51</v>
      </c>
      <c r="N3" s="9" t="s">
        <v>53</v>
      </c>
      <c r="O3" s="10" t="s">
        <v>54</v>
      </c>
    </row>
    <row r="4" spans="1:15" s="3" customFormat="1" x14ac:dyDescent="0.35">
      <c r="L4" s="25">
        <f>GETPIVOTDATA("[Measures].[Sum of Chi Phí - LTL]",$A$14)</f>
        <v>2928399650.1911478</v>
      </c>
      <c r="M4" s="10">
        <f>COUNTA(A31:A42)-2</f>
        <v>6</v>
      </c>
      <c r="N4" s="13">
        <f>GETPIVOTDATA("[Measures].[Sum of Chi Phí - LTL]",$A$14)/GETPIVOTDATA("[Measures].[Sum of Chi Phí - LTL]",$A$6)</f>
        <v>1</v>
      </c>
      <c r="O4" s="26">
        <f>GETPIVOTDATA("[Measures].[Average of KPI- LTL]",$A$33)</f>
        <v>0.95164060468173162</v>
      </c>
    </row>
    <row r="5" spans="1:15" s="3" customFormat="1" x14ac:dyDescent="0.35"/>
    <row r="6" spans="1:15" s="3" customFormat="1" x14ac:dyDescent="0.35">
      <c r="A6" s="3" t="s">
        <v>58</v>
      </c>
      <c r="B6" s="3" t="s">
        <v>43</v>
      </c>
    </row>
    <row r="7" spans="1:15" s="3" customFormat="1" x14ac:dyDescent="0.35">
      <c r="A7" s="3" t="s">
        <v>40</v>
      </c>
      <c r="B7" s="3" t="s">
        <v>19</v>
      </c>
      <c r="C7" s="3" t="s">
        <v>5</v>
      </c>
      <c r="D7" s="3" t="s">
        <v>28</v>
      </c>
      <c r="E7" s="3" t="s">
        <v>22</v>
      </c>
      <c r="F7" s="3" t="s">
        <v>12</v>
      </c>
      <c r="G7" s="3" t="s">
        <v>16</v>
      </c>
      <c r="H7" s="3" t="s">
        <v>15</v>
      </c>
      <c r="I7" s="3" t="s">
        <v>32</v>
      </c>
      <c r="J7" s="3" t="s">
        <v>41</v>
      </c>
    </row>
    <row r="8" spans="1:15" s="3" customFormat="1" x14ac:dyDescent="0.35">
      <c r="A8" s="14">
        <v>4</v>
      </c>
      <c r="B8" s="3">
        <v>3225000</v>
      </c>
      <c r="C8" s="3">
        <v>160250010</v>
      </c>
      <c r="D8" s="3">
        <v>10844925</v>
      </c>
      <c r="E8" s="3">
        <v>7590250</v>
      </c>
      <c r="G8" s="3">
        <v>5652995.7424999997</v>
      </c>
      <c r="H8" s="3">
        <v>125000</v>
      </c>
      <c r="I8" s="3">
        <v>634714972</v>
      </c>
      <c r="J8" s="3">
        <v>822403152.74250007</v>
      </c>
    </row>
    <row r="9" spans="1:15" s="3" customFormat="1" x14ac:dyDescent="0.35">
      <c r="A9" s="14">
        <v>5</v>
      </c>
      <c r="B9" s="3">
        <v>26617485</v>
      </c>
      <c r="C9" s="3">
        <v>153695583</v>
      </c>
      <c r="D9" s="3">
        <v>18032675.510280728</v>
      </c>
      <c r="F9" s="3">
        <v>2452000</v>
      </c>
      <c r="G9" s="3">
        <v>4879320.3125</v>
      </c>
      <c r="I9" s="3">
        <v>878704408</v>
      </c>
      <c r="J9" s="3">
        <v>1084381471.8227806</v>
      </c>
    </row>
    <row r="10" spans="1:15" s="3" customFormat="1" x14ac:dyDescent="0.35">
      <c r="A10" s="14">
        <v>6</v>
      </c>
      <c r="B10" s="3">
        <v>12824102.5</v>
      </c>
      <c r="C10" s="3">
        <v>115969368</v>
      </c>
      <c r="D10" s="3">
        <v>16749259.125866666</v>
      </c>
      <c r="E10" s="3">
        <v>58334100</v>
      </c>
      <c r="F10" s="3">
        <v>577800</v>
      </c>
      <c r="G10" s="3">
        <v>5441734</v>
      </c>
      <c r="I10" s="3">
        <v>811718662</v>
      </c>
      <c r="J10" s="3">
        <v>1021615025.6258667</v>
      </c>
    </row>
    <row r="11" spans="1:15" s="3" customFormat="1" x14ac:dyDescent="0.35">
      <c r="A11" s="14" t="s">
        <v>41</v>
      </c>
      <c r="B11" s="3">
        <v>42666587.5</v>
      </c>
      <c r="C11" s="3">
        <v>429914961</v>
      </c>
      <c r="D11" s="3">
        <v>45626859.636147395</v>
      </c>
      <c r="E11" s="3">
        <v>65924350</v>
      </c>
      <c r="F11" s="3">
        <v>3029800</v>
      </c>
      <c r="G11" s="3">
        <v>15974050.055</v>
      </c>
      <c r="H11" s="3">
        <v>125000</v>
      </c>
      <c r="I11" s="3">
        <v>2325138042</v>
      </c>
      <c r="J11" s="3">
        <v>2928399650.1911478</v>
      </c>
    </row>
    <row r="12" spans="1:15" s="3" customFormat="1" x14ac:dyDescent="0.35"/>
    <row r="13" spans="1:15" s="3" customFormat="1" x14ac:dyDescent="0.35"/>
    <row r="14" spans="1:15" s="3" customFormat="1" x14ac:dyDescent="0.35">
      <c r="A14" s="3" t="s">
        <v>58</v>
      </c>
      <c r="B14" s="3" t="s">
        <v>43</v>
      </c>
    </row>
    <row r="15" spans="1:15" s="3" customFormat="1" x14ac:dyDescent="0.35">
      <c r="A15" s="3" t="s">
        <v>40</v>
      </c>
      <c r="B15" s="3">
        <v>4</v>
      </c>
      <c r="C15" s="3">
        <v>5</v>
      </c>
      <c r="D15" s="3">
        <v>6</v>
      </c>
      <c r="E15" s="3" t="s">
        <v>41</v>
      </c>
    </row>
    <row r="16" spans="1:15" s="3" customFormat="1" x14ac:dyDescent="0.35">
      <c r="A16" s="23" t="s">
        <v>19</v>
      </c>
      <c r="B16" s="24">
        <v>3225000</v>
      </c>
      <c r="C16" s="24">
        <v>26617485</v>
      </c>
      <c r="D16" s="24">
        <v>12824102.5</v>
      </c>
      <c r="E16" s="24">
        <v>42666587.5</v>
      </c>
    </row>
    <row r="17" spans="1:5" s="3" customFormat="1" x14ac:dyDescent="0.35">
      <c r="A17" s="23" t="s">
        <v>5</v>
      </c>
      <c r="B17" s="24">
        <v>160250010</v>
      </c>
      <c r="C17" s="24">
        <v>153695583</v>
      </c>
      <c r="D17" s="24">
        <v>115969368</v>
      </c>
      <c r="E17" s="24">
        <v>429914961</v>
      </c>
    </row>
    <row r="18" spans="1:5" s="3" customFormat="1" x14ac:dyDescent="0.35">
      <c r="A18" s="23" t="s">
        <v>28</v>
      </c>
      <c r="B18" s="24">
        <v>10844925</v>
      </c>
      <c r="C18" s="24">
        <v>18032675.510280728</v>
      </c>
      <c r="D18" s="24">
        <v>16749259.125866666</v>
      </c>
      <c r="E18" s="24">
        <v>45626859.636147395</v>
      </c>
    </row>
    <row r="19" spans="1:5" s="3" customFormat="1" x14ac:dyDescent="0.35">
      <c r="A19" s="23" t="s">
        <v>22</v>
      </c>
      <c r="B19" s="24">
        <v>7590250</v>
      </c>
      <c r="C19" s="24"/>
      <c r="D19" s="24">
        <v>58334100</v>
      </c>
      <c r="E19" s="24">
        <v>65924350</v>
      </c>
    </row>
    <row r="20" spans="1:5" s="3" customFormat="1" x14ac:dyDescent="0.35">
      <c r="A20" s="23" t="s">
        <v>12</v>
      </c>
      <c r="B20" s="24"/>
      <c r="C20" s="24">
        <v>2452000</v>
      </c>
      <c r="D20" s="24">
        <v>577800</v>
      </c>
      <c r="E20" s="24">
        <v>3029800</v>
      </c>
    </row>
    <row r="21" spans="1:5" s="3" customFormat="1" x14ac:dyDescent="0.35">
      <c r="A21" s="23" t="s">
        <v>16</v>
      </c>
      <c r="B21" s="24">
        <v>5652995.7424999997</v>
      </c>
      <c r="C21" s="24">
        <v>4879320.3125</v>
      </c>
      <c r="D21" s="24">
        <v>5441734</v>
      </c>
      <c r="E21" s="24">
        <v>15974050.055</v>
      </c>
    </row>
    <row r="22" spans="1:5" s="3" customFormat="1" x14ac:dyDescent="0.35">
      <c r="A22" s="23" t="s">
        <v>15</v>
      </c>
      <c r="B22" s="24">
        <v>125000</v>
      </c>
      <c r="C22" s="24"/>
      <c r="D22" s="24"/>
      <c r="E22" s="24">
        <v>125000</v>
      </c>
    </row>
    <row r="23" spans="1:5" s="3" customFormat="1" x14ac:dyDescent="0.35">
      <c r="A23" s="23" t="s">
        <v>32</v>
      </c>
      <c r="B23" s="24">
        <v>634714972</v>
      </c>
      <c r="C23" s="24">
        <v>878704408</v>
      </c>
      <c r="D23" s="24">
        <v>811718662</v>
      </c>
      <c r="E23" s="24">
        <v>2325138042</v>
      </c>
    </row>
    <row r="24" spans="1:5" s="3" customFormat="1" x14ac:dyDescent="0.35">
      <c r="A24" s="14" t="s">
        <v>41</v>
      </c>
      <c r="B24" s="18">
        <v>822403152.74250007</v>
      </c>
      <c r="C24" s="18">
        <v>1084381471.8227806</v>
      </c>
      <c r="D24" s="18">
        <v>1021615025.6258667</v>
      </c>
      <c r="E24" s="18">
        <v>2928399650.1911478</v>
      </c>
    </row>
    <row r="25" spans="1:5" s="3" customFormat="1" x14ac:dyDescent="0.35"/>
    <row r="26" spans="1:5" s="3" customFormat="1" x14ac:dyDescent="0.35"/>
    <row r="27" spans="1:5" s="15" customFormat="1" x14ac:dyDescent="0.35"/>
    <row r="28" spans="1:5" s="15" customFormat="1" x14ac:dyDescent="0.35"/>
    <row r="29" spans="1:5" s="15" customFormat="1" x14ac:dyDescent="0.35"/>
    <row r="30" spans="1:5" s="15" customFormat="1" x14ac:dyDescent="0.35"/>
    <row r="31" spans="1:5" s="15" customFormat="1" x14ac:dyDescent="0.35"/>
    <row r="32" spans="1:5" s="15" customFormat="1" x14ac:dyDescent="0.35"/>
    <row r="33" spans="1:5" s="15" customFormat="1" x14ac:dyDescent="0.35">
      <c r="A33" s="15" t="s">
        <v>40</v>
      </c>
      <c r="B33" s="15" t="s">
        <v>59</v>
      </c>
      <c r="C33" s="15" t="s">
        <v>57</v>
      </c>
      <c r="D33" s="15" t="s">
        <v>46</v>
      </c>
      <c r="E33" s="15" t="s">
        <v>47</v>
      </c>
    </row>
    <row r="34" spans="1:5" s="15" customFormat="1" x14ac:dyDescent="0.35">
      <c r="A34" s="16" t="s">
        <v>33</v>
      </c>
      <c r="B34" s="20">
        <v>0.97785874009848006</v>
      </c>
      <c r="C34" s="20">
        <v>0.95</v>
      </c>
      <c r="D34" s="20">
        <v>0.9</v>
      </c>
      <c r="E34" s="20">
        <v>0.85</v>
      </c>
    </row>
    <row r="35" spans="1:5" s="15" customFormat="1" x14ac:dyDescent="0.35">
      <c r="A35" s="16" t="s">
        <v>10</v>
      </c>
      <c r="B35" s="20">
        <v>0.92806363636363642</v>
      </c>
      <c r="C35" s="20">
        <v>0.95</v>
      </c>
      <c r="D35" s="20">
        <v>0.9</v>
      </c>
      <c r="E35" s="20">
        <v>0.85</v>
      </c>
    </row>
    <row r="36" spans="1:5" s="15" customFormat="1" x14ac:dyDescent="0.35">
      <c r="A36" s="16" t="s">
        <v>7</v>
      </c>
      <c r="B36" s="20">
        <v>0.97599999999999998</v>
      </c>
      <c r="C36" s="20">
        <v>0.95</v>
      </c>
      <c r="D36" s="20">
        <v>0.9</v>
      </c>
      <c r="E36" s="20">
        <v>0.85</v>
      </c>
    </row>
    <row r="37" spans="1:5" s="15" customFormat="1" x14ac:dyDescent="0.35">
      <c r="A37" s="16" t="s">
        <v>9</v>
      </c>
      <c r="B37" s="20">
        <v>0.94854545454545447</v>
      </c>
      <c r="C37" s="20">
        <v>0.95</v>
      </c>
      <c r="D37" s="20">
        <v>0.9</v>
      </c>
      <c r="E37" s="20">
        <v>0.85</v>
      </c>
    </row>
    <row r="38" spans="1:5" s="15" customFormat="1" x14ac:dyDescent="0.35">
      <c r="A38" s="16" t="s">
        <v>6</v>
      </c>
      <c r="B38" s="20">
        <v>0.95599999999999996</v>
      </c>
      <c r="C38" s="20">
        <v>0.95</v>
      </c>
      <c r="D38" s="20">
        <v>0.9</v>
      </c>
      <c r="E38" s="20">
        <v>0.85</v>
      </c>
    </row>
    <row r="39" spans="1:5" s="15" customFormat="1" x14ac:dyDescent="0.35">
      <c r="A39" s="16" t="s">
        <v>23</v>
      </c>
      <c r="B39" s="20">
        <v>0.9981456312095589</v>
      </c>
      <c r="C39" s="20">
        <v>0.95</v>
      </c>
      <c r="D39" s="20">
        <v>0.9</v>
      </c>
      <c r="E39" s="20">
        <v>0.85</v>
      </c>
    </row>
    <row r="40" spans="1:5" s="15" customFormat="1" x14ac:dyDescent="0.35">
      <c r="A40" s="16" t="s">
        <v>41</v>
      </c>
      <c r="B40" s="15">
        <v>0.95164060468173162</v>
      </c>
      <c r="C40" s="15">
        <v>0.95</v>
      </c>
      <c r="D40" s="15">
        <v>0.9</v>
      </c>
      <c r="E40" s="15">
        <v>0.85</v>
      </c>
    </row>
    <row r="41" spans="1:5" s="15" customFormat="1" x14ac:dyDescent="0.35"/>
    <row r="42" spans="1:5" s="15" customFormat="1" x14ac:dyDescent="0.35"/>
    <row r="43" spans="1:5" s="15" customFormat="1" x14ac:dyDescent="0.35"/>
    <row r="44" spans="1:5" s="15" customFormat="1" x14ac:dyDescent="0.35"/>
    <row r="45" spans="1:5" s="15" customFormat="1" x14ac:dyDescent="0.35"/>
    <row r="46" spans="1:5" s="15" customFormat="1" x14ac:dyDescent="0.35"/>
    <row r="47" spans="1:5" s="15" customFormat="1" x14ac:dyDescent="0.35">
      <c r="A47" s="15" t="s">
        <v>40</v>
      </c>
      <c r="B47" s="15" t="s">
        <v>58</v>
      </c>
    </row>
    <row r="48" spans="1:5" s="15" customFormat="1" x14ac:dyDescent="0.35">
      <c r="A48" s="16" t="s">
        <v>33</v>
      </c>
      <c r="B48" s="20">
        <v>0.14220425821073227</v>
      </c>
    </row>
    <row r="49" spans="1:2" s="15" customFormat="1" x14ac:dyDescent="0.35">
      <c r="A49" s="16" t="s">
        <v>10</v>
      </c>
      <c r="B49" s="20">
        <v>6.1993365561504157E-2</v>
      </c>
    </row>
    <row r="50" spans="1:2" s="15" customFormat="1" x14ac:dyDescent="0.35">
      <c r="A50" s="16" t="s">
        <v>7</v>
      </c>
      <c r="B50" s="20">
        <v>5.8403729145656827E-3</v>
      </c>
    </row>
    <row r="51" spans="1:2" s="15" customFormat="1" x14ac:dyDescent="0.35">
      <c r="A51" s="16" t="s">
        <v>9</v>
      </c>
      <c r="B51" s="20">
        <v>0.13550442513567618</v>
      </c>
    </row>
    <row r="52" spans="1:2" s="15" customFormat="1" x14ac:dyDescent="0.35">
      <c r="A52" s="16" t="s">
        <v>6</v>
      </c>
      <c r="B52" s="20">
        <v>7.374369136600057E-5</v>
      </c>
    </row>
    <row r="53" spans="1:2" s="15" customFormat="1" x14ac:dyDescent="0.35">
      <c r="A53" s="16" t="s">
        <v>23</v>
      </c>
      <c r="B53" s="20">
        <v>0.65438383448615556</v>
      </c>
    </row>
    <row r="54" spans="1:2" s="15" customFormat="1" x14ac:dyDescent="0.35">
      <c r="A54" s="16" t="s">
        <v>41</v>
      </c>
      <c r="B54" s="20">
        <v>1</v>
      </c>
    </row>
  </sheetData>
  <mergeCells count="1">
    <mergeCell ref="L2:O2"/>
  </mergeCells>
  <pageMargins left="0.7" right="0.7" top="0.75" bottom="0.75" header="0.3" footer="0.3"/>
  <pageSetup paperSize="9" orientation="portrait" r:id="rId5"/>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D640EB-7F98-4E2A-B361-8CA0DEDF8D9E}">
  <sheetPr codeName="Sheet8"/>
  <dimension ref="A1:T38"/>
  <sheetViews>
    <sheetView tabSelected="1" zoomScale="70" zoomScaleNormal="70" workbookViewId="0">
      <selection activeCell="W17" sqref="W17"/>
    </sheetView>
  </sheetViews>
  <sheetFormatPr defaultColWidth="9.1796875" defaultRowHeight="14.5" x14ac:dyDescent="0.35"/>
  <cols>
    <col min="1" max="8" width="9.1796875" style="1"/>
    <col min="9" max="9" width="8.54296875" style="1" customWidth="1"/>
    <col min="10" max="19" width="9.1796875" style="1"/>
    <col min="20" max="20" width="2.453125" style="1" customWidth="1"/>
    <col min="21" max="16384" width="9.1796875" style="1"/>
  </cols>
  <sheetData>
    <row r="1" spans="1:20" ht="15" thickTop="1" x14ac:dyDescent="0.35">
      <c r="A1" s="35"/>
      <c r="B1" s="36"/>
      <c r="C1" s="36"/>
      <c r="D1" s="36"/>
      <c r="E1" s="36"/>
      <c r="F1" s="36"/>
      <c r="G1" s="36"/>
      <c r="H1" s="36"/>
      <c r="I1" s="35"/>
      <c r="J1" s="36"/>
      <c r="K1" s="36"/>
      <c r="L1" s="36"/>
      <c r="M1" s="36"/>
      <c r="N1" s="36"/>
      <c r="O1" s="36"/>
      <c r="P1" s="36"/>
      <c r="Q1" s="36"/>
      <c r="R1" s="36"/>
      <c r="S1" s="36"/>
      <c r="T1" s="37"/>
    </row>
    <row r="2" spans="1:20" x14ac:dyDescent="0.35">
      <c r="A2" s="38"/>
      <c r="I2" s="38"/>
      <c r="T2" s="39"/>
    </row>
    <row r="3" spans="1:20" x14ac:dyDescent="0.35">
      <c r="A3" s="38"/>
      <c r="I3" s="38"/>
      <c r="T3" s="39"/>
    </row>
    <row r="4" spans="1:20" x14ac:dyDescent="0.35">
      <c r="A4" s="38"/>
      <c r="I4" s="38"/>
      <c r="T4" s="39"/>
    </row>
    <row r="5" spans="1:20" x14ac:dyDescent="0.35">
      <c r="A5" s="38"/>
      <c r="I5" s="38"/>
      <c r="T5" s="39"/>
    </row>
    <row r="6" spans="1:20" x14ac:dyDescent="0.35">
      <c r="A6" s="38"/>
      <c r="I6" s="38"/>
      <c r="T6" s="39"/>
    </row>
    <row r="7" spans="1:20" x14ac:dyDescent="0.35">
      <c r="A7" s="38"/>
      <c r="I7" s="38"/>
      <c r="T7" s="39"/>
    </row>
    <row r="8" spans="1:20" x14ac:dyDescent="0.35">
      <c r="A8" s="38"/>
      <c r="I8" s="38"/>
      <c r="T8" s="39"/>
    </row>
    <row r="9" spans="1:20" x14ac:dyDescent="0.35">
      <c r="A9" s="38"/>
      <c r="I9" s="38"/>
      <c r="T9" s="39"/>
    </row>
    <row r="10" spans="1:20" x14ac:dyDescent="0.35">
      <c r="A10" s="38"/>
      <c r="I10" s="38"/>
      <c r="T10" s="39"/>
    </row>
    <row r="11" spans="1:20" x14ac:dyDescent="0.35">
      <c r="A11" s="38"/>
      <c r="I11" s="38"/>
      <c r="T11" s="39"/>
    </row>
    <row r="12" spans="1:20" x14ac:dyDescent="0.35">
      <c r="A12" s="38"/>
      <c r="I12" s="38"/>
      <c r="T12" s="39"/>
    </row>
    <row r="13" spans="1:20" x14ac:dyDescent="0.35">
      <c r="A13" s="38"/>
      <c r="I13" s="38"/>
      <c r="T13" s="39"/>
    </row>
    <row r="14" spans="1:20" x14ac:dyDescent="0.35">
      <c r="A14" s="38"/>
      <c r="I14" s="38"/>
      <c r="T14" s="39"/>
    </row>
    <row r="15" spans="1:20" x14ac:dyDescent="0.35">
      <c r="A15" s="38"/>
      <c r="I15" s="38"/>
      <c r="T15" s="39"/>
    </row>
    <row r="16" spans="1:20" x14ac:dyDescent="0.35">
      <c r="A16" s="38"/>
      <c r="I16" s="38"/>
      <c r="T16" s="39"/>
    </row>
    <row r="17" spans="1:20" x14ac:dyDescent="0.35">
      <c r="A17" s="38"/>
      <c r="I17" s="38"/>
      <c r="T17" s="39"/>
    </row>
    <row r="18" spans="1:20" x14ac:dyDescent="0.35">
      <c r="A18" s="38"/>
      <c r="I18" s="38"/>
      <c r="T18" s="39"/>
    </row>
    <row r="19" spans="1:20" x14ac:dyDescent="0.35">
      <c r="A19" s="38"/>
      <c r="I19" s="38"/>
      <c r="T19" s="39"/>
    </row>
    <row r="20" spans="1:20" x14ac:dyDescent="0.35">
      <c r="A20" s="38"/>
      <c r="I20" s="38"/>
      <c r="T20" s="39"/>
    </row>
    <row r="21" spans="1:20" x14ac:dyDescent="0.35">
      <c r="A21" s="38"/>
      <c r="I21" s="38"/>
      <c r="T21" s="39"/>
    </row>
    <row r="22" spans="1:20" x14ac:dyDescent="0.35">
      <c r="A22" s="38"/>
      <c r="I22" s="38"/>
      <c r="T22" s="39"/>
    </row>
    <row r="23" spans="1:20" x14ac:dyDescent="0.35">
      <c r="A23" s="38"/>
      <c r="I23" s="38"/>
      <c r="T23" s="39"/>
    </row>
    <row r="24" spans="1:20" x14ac:dyDescent="0.35">
      <c r="A24" s="38"/>
      <c r="I24" s="38"/>
      <c r="T24" s="39"/>
    </row>
    <row r="25" spans="1:20" x14ac:dyDescent="0.35">
      <c r="A25" s="38"/>
      <c r="I25" s="38"/>
      <c r="T25" s="39"/>
    </row>
    <row r="26" spans="1:20" x14ac:dyDescent="0.35">
      <c r="A26" s="38"/>
      <c r="I26" s="38"/>
      <c r="T26" s="39"/>
    </row>
    <row r="27" spans="1:20" x14ac:dyDescent="0.35">
      <c r="A27" s="38"/>
      <c r="I27" s="38"/>
      <c r="T27" s="39"/>
    </row>
    <row r="28" spans="1:20" x14ac:dyDescent="0.35">
      <c r="A28" s="38"/>
      <c r="I28" s="38"/>
      <c r="T28" s="39"/>
    </row>
    <row r="29" spans="1:20" x14ac:dyDescent="0.35">
      <c r="A29" s="38"/>
      <c r="I29" s="38"/>
      <c r="T29" s="39"/>
    </row>
    <row r="30" spans="1:20" x14ac:dyDescent="0.35">
      <c r="A30" s="38"/>
      <c r="I30" s="38"/>
      <c r="T30" s="39"/>
    </row>
    <row r="31" spans="1:20" x14ac:dyDescent="0.35">
      <c r="A31" s="38"/>
      <c r="I31" s="38"/>
      <c r="T31" s="39"/>
    </row>
    <row r="32" spans="1:20" x14ac:dyDescent="0.35">
      <c r="A32" s="38"/>
      <c r="I32" s="38"/>
      <c r="T32" s="39"/>
    </row>
    <row r="33" spans="1:20" x14ac:dyDescent="0.35">
      <c r="A33" s="38"/>
      <c r="I33" s="38"/>
      <c r="T33" s="39"/>
    </row>
    <row r="34" spans="1:20" x14ac:dyDescent="0.35">
      <c r="A34" s="38"/>
      <c r="I34" s="38"/>
      <c r="T34" s="39"/>
    </row>
    <row r="35" spans="1:20" x14ac:dyDescent="0.35">
      <c r="A35" s="38"/>
      <c r="I35" s="38"/>
      <c r="T35" s="39"/>
    </row>
    <row r="36" spans="1:20" x14ac:dyDescent="0.35">
      <c r="A36" s="38"/>
      <c r="I36" s="38"/>
      <c r="T36" s="39"/>
    </row>
    <row r="37" spans="1:20" ht="15" thickBot="1" x14ac:dyDescent="0.4">
      <c r="A37" s="40"/>
      <c r="B37" s="41"/>
      <c r="C37" s="41"/>
      <c r="D37" s="41"/>
      <c r="E37" s="41"/>
      <c r="F37" s="41"/>
      <c r="G37" s="41"/>
      <c r="H37" s="41"/>
      <c r="I37" s="40"/>
      <c r="J37" s="41"/>
      <c r="K37" s="41"/>
      <c r="L37" s="41"/>
      <c r="M37" s="41"/>
      <c r="N37" s="41"/>
      <c r="O37" s="41"/>
      <c r="P37" s="41"/>
      <c r="Q37" s="41"/>
      <c r="R37" s="41"/>
      <c r="S37" s="41"/>
      <c r="T37" s="42"/>
    </row>
    <row r="38" spans="1:20" ht="15" thickTop="1" x14ac:dyDescent="0.35"/>
  </sheetData>
  <pageMargins left="0.7" right="0.7" top="0.75" bottom="0.75" header="0.3" footer="0.3"/>
  <pageSetup paperSize="9" orientation="portrait" r:id="rId1"/>
  <drawing r:id="rId2"/>
  <extLst>
    <ext xmlns:x14="http://schemas.microsoft.com/office/spreadsheetml/2009/9/main" uri="{A8765BA9-456A-4dab-B4F3-ACF838C121DE}">
      <x14:slicerList>
        <x14:slicer r:id="rId3"/>
      </x14:slicerList>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EDA95F-3E84-46EB-BDBB-9C1E8D7EC498}">
  <sheetPr codeName="Sheet9"/>
  <dimension ref="A1:U39"/>
  <sheetViews>
    <sheetView showGridLines="0" zoomScale="70" zoomScaleNormal="70" workbookViewId="0">
      <selection activeCell="Y19" sqref="Y19"/>
    </sheetView>
  </sheetViews>
  <sheetFormatPr defaultColWidth="9.1796875" defaultRowHeight="14.5" x14ac:dyDescent="0.35"/>
  <cols>
    <col min="1" max="8" width="9.1796875" style="22"/>
    <col min="9" max="9" width="2.26953125" style="22" customWidth="1"/>
    <col min="10" max="20" width="9.1796875" style="22"/>
    <col min="21" max="21" width="2.36328125" style="22" customWidth="1"/>
    <col min="22" max="16384" width="9.1796875" style="22"/>
  </cols>
  <sheetData>
    <row r="1" spans="1:21" ht="15" thickTop="1" x14ac:dyDescent="0.35">
      <c r="A1" s="27"/>
      <c r="B1" s="28"/>
      <c r="C1" s="28"/>
      <c r="D1" s="28"/>
      <c r="E1" s="28"/>
      <c r="F1" s="28"/>
      <c r="G1" s="28"/>
      <c r="H1" s="28"/>
      <c r="I1" s="28"/>
      <c r="J1" s="27"/>
      <c r="K1" s="28"/>
      <c r="L1" s="28"/>
      <c r="M1" s="28"/>
      <c r="N1" s="28"/>
      <c r="O1" s="28"/>
      <c r="P1" s="28"/>
      <c r="Q1" s="28"/>
      <c r="R1" s="28"/>
      <c r="S1" s="28"/>
      <c r="T1" s="28"/>
      <c r="U1" s="29"/>
    </row>
    <row r="2" spans="1:21" x14ac:dyDescent="0.35">
      <c r="A2" s="30"/>
      <c r="J2" s="30"/>
      <c r="U2" s="31"/>
    </row>
    <row r="3" spans="1:21" x14ac:dyDescent="0.35">
      <c r="A3" s="30"/>
      <c r="J3" s="30"/>
      <c r="U3" s="31"/>
    </row>
    <row r="4" spans="1:21" x14ac:dyDescent="0.35">
      <c r="A4" s="30"/>
      <c r="J4" s="30"/>
      <c r="U4" s="31"/>
    </row>
    <row r="5" spans="1:21" x14ac:dyDescent="0.35">
      <c r="A5" s="30"/>
      <c r="J5" s="30"/>
      <c r="U5" s="31"/>
    </row>
    <row r="6" spans="1:21" x14ac:dyDescent="0.35">
      <c r="A6" s="30"/>
      <c r="J6" s="30"/>
      <c r="U6" s="31"/>
    </row>
    <row r="7" spans="1:21" x14ac:dyDescent="0.35">
      <c r="A7" s="30"/>
      <c r="J7" s="30"/>
      <c r="U7" s="31"/>
    </row>
    <row r="8" spans="1:21" x14ac:dyDescent="0.35">
      <c r="A8" s="30"/>
      <c r="J8" s="30"/>
      <c r="U8" s="31"/>
    </row>
    <row r="9" spans="1:21" x14ac:dyDescent="0.35">
      <c r="A9" s="30"/>
      <c r="J9" s="30"/>
      <c r="U9" s="31"/>
    </row>
    <row r="10" spans="1:21" x14ac:dyDescent="0.35">
      <c r="A10" s="30"/>
      <c r="J10" s="30"/>
      <c r="U10" s="31"/>
    </row>
    <row r="11" spans="1:21" x14ac:dyDescent="0.35">
      <c r="A11" s="30"/>
      <c r="J11" s="30"/>
      <c r="U11" s="31"/>
    </row>
    <row r="12" spans="1:21" x14ac:dyDescent="0.35">
      <c r="A12" s="30"/>
      <c r="J12" s="30"/>
      <c r="U12" s="31"/>
    </row>
    <row r="13" spans="1:21" x14ac:dyDescent="0.35">
      <c r="A13" s="30"/>
      <c r="J13" s="30"/>
      <c r="U13" s="31"/>
    </row>
    <row r="14" spans="1:21" x14ac:dyDescent="0.35">
      <c r="A14" s="30"/>
      <c r="J14" s="30"/>
      <c r="U14" s="31"/>
    </row>
    <row r="15" spans="1:21" x14ac:dyDescent="0.35">
      <c r="A15" s="30"/>
      <c r="J15" s="30"/>
      <c r="U15" s="31"/>
    </row>
    <row r="16" spans="1:21" x14ac:dyDescent="0.35">
      <c r="A16" s="30"/>
      <c r="J16" s="30"/>
      <c r="U16" s="31"/>
    </row>
    <row r="17" spans="1:21" x14ac:dyDescent="0.35">
      <c r="A17" s="30"/>
      <c r="J17" s="30"/>
      <c r="U17" s="31"/>
    </row>
    <row r="18" spans="1:21" x14ac:dyDescent="0.35">
      <c r="A18" s="30"/>
      <c r="J18" s="30"/>
      <c r="U18" s="31"/>
    </row>
    <row r="19" spans="1:21" x14ac:dyDescent="0.35">
      <c r="A19" s="30"/>
      <c r="J19" s="30"/>
      <c r="U19" s="31"/>
    </row>
    <row r="20" spans="1:21" x14ac:dyDescent="0.35">
      <c r="A20" s="30"/>
      <c r="J20" s="30"/>
      <c r="U20" s="31"/>
    </row>
    <row r="21" spans="1:21" x14ac:dyDescent="0.35">
      <c r="A21" s="30"/>
      <c r="J21" s="30"/>
      <c r="U21" s="31"/>
    </row>
    <row r="22" spans="1:21" x14ac:dyDescent="0.35">
      <c r="A22" s="30"/>
      <c r="J22" s="30"/>
      <c r="U22" s="31"/>
    </row>
    <row r="23" spans="1:21" x14ac:dyDescent="0.35">
      <c r="A23" s="30"/>
      <c r="J23" s="30"/>
      <c r="U23" s="31"/>
    </row>
    <row r="24" spans="1:21" x14ac:dyDescent="0.35">
      <c r="A24" s="30"/>
      <c r="J24" s="30"/>
      <c r="U24" s="31"/>
    </row>
    <row r="25" spans="1:21" x14ac:dyDescent="0.35">
      <c r="A25" s="30"/>
      <c r="J25" s="30"/>
      <c r="U25" s="31"/>
    </row>
    <row r="26" spans="1:21" x14ac:dyDescent="0.35">
      <c r="A26" s="30"/>
      <c r="J26" s="30"/>
      <c r="U26" s="31"/>
    </row>
    <row r="27" spans="1:21" x14ac:dyDescent="0.35">
      <c r="A27" s="30"/>
      <c r="J27" s="30"/>
      <c r="U27" s="31"/>
    </row>
    <row r="28" spans="1:21" x14ac:dyDescent="0.35">
      <c r="A28" s="30"/>
      <c r="J28" s="30"/>
      <c r="U28" s="31"/>
    </row>
    <row r="29" spans="1:21" x14ac:dyDescent="0.35">
      <c r="A29" s="30"/>
      <c r="J29" s="30"/>
      <c r="U29" s="31"/>
    </row>
    <row r="30" spans="1:21" x14ac:dyDescent="0.35">
      <c r="A30" s="30"/>
      <c r="J30" s="30"/>
      <c r="U30" s="31"/>
    </row>
    <row r="31" spans="1:21" x14ac:dyDescent="0.35">
      <c r="A31" s="30"/>
      <c r="J31" s="30"/>
      <c r="U31" s="31"/>
    </row>
    <row r="32" spans="1:21" x14ac:dyDescent="0.35">
      <c r="A32" s="30"/>
      <c r="J32" s="30"/>
      <c r="U32" s="31"/>
    </row>
    <row r="33" spans="1:21" x14ac:dyDescent="0.35">
      <c r="A33" s="30"/>
      <c r="J33" s="30"/>
      <c r="U33" s="31"/>
    </row>
    <row r="34" spans="1:21" x14ac:dyDescent="0.35">
      <c r="A34" s="30"/>
      <c r="J34" s="30"/>
      <c r="U34" s="31"/>
    </row>
    <row r="35" spans="1:21" x14ac:dyDescent="0.35">
      <c r="A35" s="30"/>
      <c r="J35" s="30"/>
      <c r="U35" s="31"/>
    </row>
    <row r="36" spans="1:21" x14ac:dyDescent="0.35">
      <c r="A36" s="30"/>
      <c r="J36" s="30"/>
      <c r="U36" s="31"/>
    </row>
    <row r="37" spans="1:21" x14ac:dyDescent="0.35">
      <c r="A37" s="30"/>
      <c r="J37" s="30"/>
      <c r="U37" s="31"/>
    </row>
    <row r="38" spans="1:21" ht="6" customHeight="1" thickBot="1" x14ac:dyDescent="0.4">
      <c r="A38" s="32"/>
      <c r="B38" s="33"/>
      <c r="C38" s="33"/>
      <c r="D38" s="33"/>
      <c r="E38" s="33"/>
      <c r="F38" s="33"/>
      <c r="G38" s="33"/>
      <c r="H38" s="33"/>
      <c r="I38" s="33"/>
      <c r="J38" s="32"/>
      <c r="K38" s="33"/>
      <c r="L38" s="33"/>
      <c r="M38" s="33"/>
      <c r="N38" s="33"/>
      <c r="O38" s="33"/>
      <c r="P38" s="33"/>
      <c r="Q38" s="33"/>
      <c r="R38" s="33"/>
      <c r="S38" s="33"/>
      <c r="T38" s="33"/>
      <c r="U38" s="34"/>
    </row>
    <row r="39" spans="1:21" ht="15" thickTop="1" x14ac:dyDescent="0.35"/>
  </sheetData>
  <pageMargins left="0.7" right="0.7" top="0.75" bottom="0.75" header="0.3" footer="0.3"/>
  <drawing r:id="rId1"/>
  <extLst>
    <ext xmlns:x14="http://schemas.microsoft.com/office/spreadsheetml/2009/9/main" uri="{A8765BA9-456A-4dab-B4F3-ACF838C121DE}">
      <x14:slicerList>
        <x14:slicer r:id="rId2"/>
      </x14:slicerList>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800B6E-228A-487C-97A1-27E775BEADB1}">
  <sheetPr codeName="Sheet10"/>
  <dimension ref="A1:U39"/>
  <sheetViews>
    <sheetView zoomScale="70" zoomScaleNormal="70" workbookViewId="0">
      <selection activeCell="X15" sqref="X15"/>
    </sheetView>
  </sheetViews>
  <sheetFormatPr defaultColWidth="9.1796875" defaultRowHeight="14.5" x14ac:dyDescent="0.35"/>
  <cols>
    <col min="1" max="7" width="9.1796875" style="22"/>
    <col min="8" max="8" width="9.6328125" style="22" customWidth="1"/>
    <col min="9" max="9" width="1.1796875" style="22" customWidth="1"/>
    <col min="10" max="10" width="5.81640625" style="22" customWidth="1"/>
    <col min="11" max="20" width="9.1796875" style="22"/>
    <col min="21" max="21" width="2.26953125" style="22" customWidth="1"/>
    <col min="22" max="16384" width="9.1796875" style="22"/>
  </cols>
  <sheetData>
    <row r="1" spans="1:21" ht="15" thickTop="1" x14ac:dyDescent="0.35">
      <c r="A1" s="27"/>
      <c r="B1" s="28"/>
      <c r="C1" s="28"/>
      <c r="D1" s="28"/>
      <c r="E1" s="28"/>
      <c r="F1" s="28"/>
      <c r="G1" s="28"/>
      <c r="H1" s="28"/>
      <c r="I1" s="29"/>
      <c r="J1" s="27"/>
      <c r="K1" s="28"/>
      <c r="L1" s="28"/>
      <c r="M1" s="28"/>
      <c r="N1" s="28"/>
      <c r="O1" s="28"/>
      <c r="P1" s="28"/>
      <c r="Q1" s="28"/>
      <c r="R1" s="28"/>
      <c r="S1" s="28"/>
      <c r="T1" s="28"/>
      <c r="U1" s="29"/>
    </row>
    <row r="2" spans="1:21" x14ac:dyDescent="0.35">
      <c r="A2" s="30"/>
      <c r="I2" s="31"/>
      <c r="J2" s="30"/>
      <c r="U2" s="31"/>
    </row>
    <row r="3" spans="1:21" x14ac:dyDescent="0.35">
      <c r="A3" s="30"/>
      <c r="I3" s="31"/>
      <c r="J3" s="30"/>
      <c r="U3" s="31"/>
    </row>
    <row r="4" spans="1:21" x14ac:dyDescent="0.35">
      <c r="A4" s="30"/>
      <c r="I4" s="31"/>
      <c r="J4" s="30"/>
      <c r="U4" s="31"/>
    </row>
    <row r="5" spans="1:21" x14ac:dyDescent="0.35">
      <c r="A5" s="30"/>
      <c r="I5" s="31"/>
      <c r="J5" s="30"/>
      <c r="U5" s="31"/>
    </row>
    <row r="6" spans="1:21" x14ac:dyDescent="0.35">
      <c r="A6" s="30"/>
      <c r="I6" s="31"/>
      <c r="J6" s="30"/>
      <c r="U6" s="31"/>
    </row>
    <row r="7" spans="1:21" x14ac:dyDescent="0.35">
      <c r="A7" s="30"/>
      <c r="I7" s="31"/>
      <c r="J7" s="30"/>
      <c r="U7" s="31"/>
    </row>
    <row r="8" spans="1:21" x14ac:dyDescent="0.35">
      <c r="A8" s="30"/>
      <c r="I8" s="31"/>
      <c r="J8" s="30"/>
      <c r="U8" s="31"/>
    </row>
    <row r="9" spans="1:21" x14ac:dyDescent="0.35">
      <c r="A9" s="30"/>
      <c r="I9" s="31"/>
      <c r="J9" s="30"/>
      <c r="U9" s="31"/>
    </row>
    <row r="10" spans="1:21" x14ac:dyDescent="0.35">
      <c r="A10" s="30"/>
      <c r="I10" s="31"/>
      <c r="J10" s="30"/>
      <c r="U10" s="31"/>
    </row>
    <row r="11" spans="1:21" x14ac:dyDescent="0.35">
      <c r="A11" s="30"/>
      <c r="I11" s="31"/>
      <c r="J11" s="30"/>
      <c r="U11" s="31"/>
    </row>
    <row r="12" spans="1:21" x14ac:dyDescent="0.35">
      <c r="A12" s="30"/>
      <c r="I12" s="31"/>
      <c r="J12" s="30"/>
      <c r="U12" s="31"/>
    </row>
    <row r="13" spans="1:21" x14ac:dyDescent="0.35">
      <c r="A13" s="30"/>
      <c r="I13" s="31"/>
      <c r="J13" s="30"/>
      <c r="U13" s="31"/>
    </row>
    <row r="14" spans="1:21" x14ac:dyDescent="0.35">
      <c r="A14" s="30"/>
      <c r="I14" s="31"/>
      <c r="J14" s="30"/>
      <c r="U14" s="31"/>
    </row>
    <row r="15" spans="1:21" x14ac:dyDescent="0.35">
      <c r="A15" s="30"/>
      <c r="I15" s="31"/>
      <c r="J15" s="30"/>
      <c r="U15" s="31"/>
    </row>
    <row r="16" spans="1:21" x14ac:dyDescent="0.35">
      <c r="A16" s="30"/>
      <c r="I16" s="31"/>
      <c r="J16" s="30"/>
      <c r="U16" s="31"/>
    </row>
    <row r="17" spans="1:21" x14ac:dyDescent="0.35">
      <c r="A17" s="30"/>
      <c r="I17" s="31"/>
      <c r="J17" s="30"/>
      <c r="U17" s="31"/>
    </row>
    <row r="18" spans="1:21" x14ac:dyDescent="0.35">
      <c r="A18" s="30"/>
      <c r="I18" s="31"/>
      <c r="J18" s="30"/>
      <c r="U18" s="31"/>
    </row>
    <row r="19" spans="1:21" x14ac:dyDescent="0.35">
      <c r="A19" s="30"/>
      <c r="I19" s="31"/>
      <c r="J19" s="30"/>
      <c r="U19" s="31"/>
    </row>
    <row r="20" spans="1:21" x14ac:dyDescent="0.35">
      <c r="A20" s="30"/>
      <c r="I20" s="31"/>
      <c r="J20" s="30"/>
      <c r="U20" s="31"/>
    </row>
    <row r="21" spans="1:21" x14ac:dyDescent="0.35">
      <c r="A21" s="30"/>
      <c r="I21" s="31"/>
      <c r="J21" s="30"/>
      <c r="U21" s="31"/>
    </row>
    <row r="22" spans="1:21" x14ac:dyDescent="0.35">
      <c r="A22" s="30"/>
      <c r="I22" s="31"/>
      <c r="J22" s="30"/>
      <c r="U22" s="31"/>
    </row>
    <row r="23" spans="1:21" x14ac:dyDescent="0.35">
      <c r="A23" s="30"/>
      <c r="I23" s="31"/>
      <c r="J23" s="30"/>
      <c r="U23" s="31"/>
    </row>
    <row r="24" spans="1:21" x14ac:dyDescent="0.35">
      <c r="A24" s="30"/>
      <c r="I24" s="31"/>
      <c r="J24" s="30"/>
      <c r="U24" s="31"/>
    </row>
    <row r="25" spans="1:21" x14ac:dyDescent="0.35">
      <c r="A25" s="30"/>
      <c r="I25" s="31"/>
      <c r="J25" s="30"/>
      <c r="U25" s="31"/>
    </row>
    <row r="26" spans="1:21" x14ac:dyDescent="0.35">
      <c r="A26" s="30"/>
      <c r="I26" s="31"/>
      <c r="J26" s="30"/>
      <c r="U26" s="31"/>
    </row>
    <row r="27" spans="1:21" x14ac:dyDescent="0.35">
      <c r="A27" s="30"/>
      <c r="I27" s="31"/>
      <c r="J27" s="30"/>
      <c r="U27" s="31"/>
    </row>
    <row r="28" spans="1:21" x14ac:dyDescent="0.35">
      <c r="A28" s="30"/>
      <c r="I28" s="31"/>
      <c r="J28" s="30"/>
      <c r="U28" s="31"/>
    </row>
    <row r="29" spans="1:21" x14ac:dyDescent="0.35">
      <c r="A29" s="30"/>
      <c r="I29" s="31"/>
      <c r="J29" s="30"/>
      <c r="U29" s="31"/>
    </row>
    <row r="30" spans="1:21" x14ac:dyDescent="0.35">
      <c r="A30" s="30"/>
      <c r="I30" s="31"/>
      <c r="J30" s="30"/>
      <c r="U30" s="31"/>
    </row>
    <row r="31" spans="1:21" x14ac:dyDescent="0.35">
      <c r="A31" s="30"/>
      <c r="I31" s="31"/>
      <c r="J31" s="30"/>
      <c r="U31" s="31"/>
    </row>
    <row r="32" spans="1:21" x14ac:dyDescent="0.35">
      <c r="A32" s="30"/>
      <c r="I32" s="31"/>
      <c r="J32" s="30"/>
      <c r="U32" s="31"/>
    </row>
    <row r="33" spans="1:21" x14ac:dyDescent="0.35">
      <c r="A33" s="30"/>
      <c r="I33" s="31"/>
      <c r="J33" s="30"/>
      <c r="U33" s="31"/>
    </row>
    <row r="34" spans="1:21" x14ac:dyDescent="0.35">
      <c r="A34" s="30"/>
      <c r="I34" s="31"/>
      <c r="J34" s="30"/>
      <c r="U34" s="31"/>
    </row>
    <row r="35" spans="1:21" x14ac:dyDescent="0.35">
      <c r="A35" s="30"/>
      <c r="I35" s="31"/>
      <c r="J35" s="30"/>
      <c r="U35" s="31"/>
    </row>
    <row r="36" spans="1:21" x14ac:dyDescent="0.35">
      <c r="A36" s="30"/>
      <c r="I36" s="31"/>
      <c r="J36" s="30"/>
      <c r="U36" s="31"/>
    </row>
    <row r="37" spans="1:21" x14ac:dyDescent="0.35">
      <c r="A37" s="30"/>
      <c r="I37" s="31"/>
      <c r="J37" s="30"/>
      <c r="U37" s="31"/>
    </row>
    <row r="38" spans="1:21" ht="8.5" customHeight="1" thickBot="1" x14ac:dyDescent="0.4">
      <c r="A38" s="32"/>
      <c r="B38" s="33"/>
      <c r="C38" s="33"/>
      <c r="D38" s="33"/>
      <c r="E38" s="33"/>
      <c r="F38" s="33"/>
      <c r="G38" s="33"/>
      <c r="H38" s="33"/>
      <c r="I38" s="34"/>
      <c r="J38" s="32"/>
      <c r="K38" s="33"/>
      <c r="L38" s="33"/>
      <c r="M38" s="33"/>
      <c r="N38" s="33"/>
      <c r="O38" s="33"/>
      <c r="P38" s="33"/>
      <c r="Q38" s="33"/>
      <c r="R38" s="33"/>
      <c r="S38" s="33"/>
      <c r="T38" s="33"/>
      <c r="U38" s="34"/>
    </row>
    <row r="39" spans="1:21" ht="15" thickTop="1" x14ac:dyDescent="0.35"/>
  </sheetData>
  <pageMargins left="0.7" right="0.7" top="0.75" bottom="0.75" header="0.3" footer="0.3"/>
  <drawing r:id="rId1"/>
  <extLst>
    <ext xmlns:x14="http://schemas.microsoft.com/office/spreadsheetml/2009/9/main" uri="{A8765BA9-456A-4dab-B4F3-ACF838C121DE}">
      <x14:slicerList>
        <x14:slicer r:id="rId2"/>
      </x14:slicerList>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326EBC54-574F-4671-B9A1-C7D0FC3A6572}">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10</vt:i4>
      </vt:variant>
    </vt:vector>
  </HeadingPairs>
  <TitlesOfParts>
    <vt:vector size="10" baseType="lpstr">
      <vt:lpstr>Raw Data - LTL</vt:lpstr>
      <vt:lpstr>Raw Data- cẩu</vt:lpstr>
      <vt:lpstr>Raw Data - dài</vt:lpstr>
      <vt:lpstr>Raw Data- ngắn</vt:lpstr>
      <vt:lpstr>CALCULATION-NGẮN</vt:lpstr>
      <vt:lpstr>CALCULATION- DÀI</vt:lpstr>
      <vt:lpstr>CALCULATION- LTL</vt:lpstr>
      <vt:lpstr>Monitoring- ĐƯỜNG NGẮN</vt:lpstr>
      <vt:lpstr>Monitoring - ĐƯỜNG DÀI</vt:lpstr>
      <vt:lpstr>Monitoring - LTL</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Nguyen Minh Tien</dc:creator>
  <cp:lastModifiedBy>Minh Tien</cp:lastModifiedBy>
  <dcterms:created xsi:type="dcterms:W3CDTF">2023-07-20T01:42:24Z</dcterms:created>
  <dcterms:modified xsi:type="dcterms:W3CDTF">2023-07-29T03:09:25Z</dcterms:modified>
</cp:coreProperties>
</file>