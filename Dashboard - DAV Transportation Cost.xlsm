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tables/table5.xml" ContentType="application/vnd.openxmlformats-officedocument.spreadsheetml.table+xml"/>
  <Override PartName="/xl/queryTables/queryTable5.xml" ContentType="application/vnd.openxmlformats-officedocument.spreadsheetml.query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drawings/drawing6.xml" ContentType="application/vnd.openxmlformats-officedocument.drawing+xml"/>
  <Override PartName="/xl/slicers/slicer5.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defaultThemeVersion="166925"/>
  <mc:AlternateContent xmlns:mc="http://schemas.openxmlformats.org/markup-compatibility/2006">
    <mc:Choice Requires="x15">
      <x15ac:absPath xmlns:x15ac="http://schemas.microsoft.com/office/spreadsheetml/2010/11/ac" url="V:\DAV-SCM_DATA\LOGISTICS\LOGISTICS BUDGET (Do not share)\2023\"/>
    </mc:Choice>
  </mc:AlternateContent>
  <xr:revisionPtr revIDLastSave="0" documentId="13_ncr:1_{AC45A200-FCA2-4D00-9F48-FF2BABBADBC5}" xr6:coauthVersionLast="47" xr6:coauthVersionMax="47" xr10:uidLastSave="{00000000-0000-0000-0000-000000000000}"/>
  <bookViews>
    <workbookView xWindow="3660" yWindow="1395" windowWidth="14400" windowHeight="11205" tabRatio="665" firstSheet="8" activeTab="9" xr2:uid="{0477C9FF-C902-4FAA-B907-F0451E71373C}"/>
  </bookViews>
  <sheets>
    <sheet name="Raw Data - LTL" sheetId="5" state="hidden" r:id="rId1"/>
    <sheet name="Raw Data- cẩu" sheetId="4" state="hidden" r:id="rId2"/>
    <sheet name="Raw Data - dài" sheetId="3" state="hidden" r:id="rId3"/>
    <sheet name="Raw Data- ngắn" sheetId="2" state="hidden" r:id="rId4"/>
    <sheet name="CALCULATION-NGẮN" sheetId="7" state="hidden" r:id="rId5"/>
    <sheet name="CALCULATION- DÀI" sheetId="10" state="hidden" r:id="rId6"/>
    <sheet name="CALCULATION- LTL" sheetId="13" state="hidden" r:id="rId7"/>
    <sheet name="RAW DATA- DAVF" sheetId="16" state="hidden" r:id="rId8"/>
    <sheet name="Monitoring- ĐƯỜNG NGẮN" sheetId="6" r:id="rId9"/>
    <sheet name="Monitoring - ĐƯỜNG DÀI" sheetId="11" r:id="rId10"/>
    <sheet name="Monitoring - LTL" sheetId="14" r:id="rId11"/>
    <sheet name="CALCULATION- DAVF" sheetId="18" state="hidden" r:id="rId12"/>
    <sheet name="MONITORING - DAVF LONG ROUTE" sheetId="19" r:id="rId13"/>
  </sheets>
  <definedNames>
    <definedName name="_xlcn.WorksheetConnection_DashboardDAVTransportationCost.xlsmTRANSPORTATION_COST___RAW_DATA___FACTORY1" hidden="1">TRANSPORTATION_COST___RAW_DATA___FACTORY[]</definedName>
    <definedName name="_xlcn.WorksheetConnection_test.xlsxTable_Raw_Data___dài1" hidden="1">Table_Raw_Data___dài[]</definedName>
    <definedName name="_xlcn.WorksheetConnection_test.xlsxTable_Raw_Data___LTL1" hidden="1">Table_Raw_Data___LTL[]</definedName>
    <definedName name="_xlcn.WorksheetConnection_test.xlsxTable_Raw_Data__ngắn1" hidden="1">Table_Raw_Data__ngắn[]</definedName>
    <definedName name="ExternalData_1" localSheetId="7" hidden="1">'RAW DATA- DAVF'!$A$1:$G$316</definedName>
    <definedName name="ExternalData_1" localSheetId="3" hidden="1">'Raw Data- ngắn'!$A$1:$E$94</definedName>
    <definedName name="ExternalData_2" localSheetId="2" hidden="1">'Raw Data - dài'!$A$1:$E$38</definedName>
    <definedName name="ExternalData_3" localSheetId="1" hidden="1">'Raw Data- cẩu'!$A$1:$E$9</definedName>
    <definedName name="ExternalData_4" localSheetId="0" hidden="1">'Raw Data - LTL'!$A$1:$E$57</definedName>
    <definedName name="Slicer_Branch">#N/A</definedName>
    <definedName name="Slicer_Chi_nhánh">#N/A</definedName>
    <definedName name="Slicer_Chi_nhánh1">#N/A</definedName>
    <definedName name="Slicer_Chi_nhánh2">#N/A</definedName>
    <definedName name="Slicer_Chi_nhánh3">#N/A</definedName>
    <definedName name="Slicer_Chi_nhánh4">#N/A</definedName>
    <definedName name="Slicer_Chi_nhánh5">#N/A</definedName>
    <definedName name="Slicer_Month">#N/A</definedName>
    <definedName name="Slicer_SCOPE">#N/A</definedName>
    <definedName name="Slicer_Tháng">#N/A</definedName>
    <definedName name="Slicer_Tháng1">#N/A</definedName>
    <definedName name="Slicer_Tháng2">#N/A</definedName>
    <definedName name="Slicer_Tháng3">#N/A</definedName>
    <definedName name="Slicer_Tháng4">#N/A</definedName>
    <definedName name="Slicer_Tháng5">#N/A</definedName>
    <definedName name="Slicer_VENDOR">#N/A</definedName>
  </definedNames>
  <calcPr calcId="191029"/>
  <pivotCaches>
    <pivotCache cacheId="112" r:id="rId14"/>
    <pivotCache cacheId="115" r:id="rId15"/>
    <pivotCache cacheId="119" r:id="rId16"/>
    <pivotCache cacheId="122" r:id="rId17"/>
    <pivotCache cacheId="129" r:id="rId18"/>
    <pivotCache cacheId="133" r:id="rId19"/>
    <pivotCache cacheId="136" r:id="rId20"/>
    <pivotCache cacheId="143" r:id="rId21"/>
    <pivotCache cacheId="147" r:id="rId22"/>
    <pivotCache cacheId="150" r:id="rId23"/>
    <pivotCache cacheId="153" r:id="rId24"/>
    <pivotCache cacheId="156" r:id="rId25"/>
    <pivotCache cacheId="159" r:id="rId26"/>
    <pivotCache cacheId="162" r:id="rId27"/>
    <pivotCache cacheId="170" r:id="rId28"/>
    <pivotCache cacheId="182" r:id="rId29"/>
    <pivotCache cacheId="194" r:id="rId30"/>
  </pivotCaches>
  <extLst>
    <ext xmlns:x14="http://schemas.microsoft.com/office/spreadsheetml/2009/9/main" uri="{876F7934-8845-4945-9796-88D515C7AA90}">
      <x14:pivotCaches>
        <pivotCache cacheId="111" r:id="rId31"/>
        <pivotCache cacheId="118" r:id="rId32"/>
        <pivotCache cacheId="125" r:id="rId33"/>
        <pivotCache cacheId="132" r:id="rId34"/>
        <pivotCache cacheId="139" r:id="rId35"/>
        <pivotCache cacheId="146" r:id="rId36"/>
      </x14:pivotCaches>
    </ext>
    <ext xmlns:x14="http://schemas.microsoft.com/office/spreadsheetml/2009/9/main" uri="{BBE1A952-AA13-448e-AADC-164F8A28A991}">
      <x14:slicerCaches>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Raw_Data__ngắn" name="Table_Raw_Data__ngắn" connection="WorksheetConnection_test.xlsx!Table_Raw_Data__ngắn"/>
          <x15:modelTable id="Table_Raw_Data___LTL" name="Table_Raw_Data___LTL" connection="WorksheetConnection_test.xlsx!Table_Raw_Data___LTL"/>
          <x15:modelTable id="Table_Raw_Data___dài" name="Table_Raw_Data___dài" connection="WorksheetConnection_test.xlsx!Table_Raw_Data___dài"/>
          <x15:modelTable id="TRANSPORTATION_COST___RAW_DATA___FACTORY" name="TRANSPORTATION_COST___RAW_DATA___FACTORY" connection="WorksheetConnection_Dashboard - DAV Transportation Cost.xlsm!TRANSPORTATION_COST___RAW_DATA___FACTORY"/>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 i="13" l="1"/>
  <c r="K3" i="10"/>
  <c r="O3" i="7"/>
  <c r="N3" i="7"/>
  <c r="P3" i="7"/>
  <c r="B2" i="18"/>
  <c r="I2" i="18"/>
  <c r="A2" i="18"/>
  <c r="C2" i="18"/>
  <c r="J2" i="18"/>
  <c r="G2" i="18"/>
  <c r="J3" i="10"/>
  <c r="N4" i="13"/>
  <c r="P4" i="13"/>
  <c r="Q3" i="7"/>
  <c r="Q4" i="13"/>
  <c r="M3" i="10"/>
  <c r="D2" i="18" l="1"/>
  <c r="H2" i="18"/>
  <c r="L3"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1D28C4E-42FF-4F1A-8583-4D803E1D8A1A}"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2" xr16:uid="{D5895250-F5A0-4DCE-9BD5-FA6D0DDA9494}" keepAlive="1" name="Query - Raw Data - dài" description="Connection to the 'Raw Data - dài' query in the workbook." type="5" refreshedVersion="8" background="1" saveData="1">
    <dbPr connection="Provider=Microsoft.Mashup.OleDb.1;Data Source=$Workbook$;Location=&quot;Raw Data - dài&quot;;Extended Properties=&quot;&quot;" command="SELECT * FROM [Raw Data - dài]"/>
  </connection>
  <connection id="3" xr16:uid="{0C9F9FA8-0A5D-4BE2-8430-4A78BF19C74C}" keepAlive="1" name="Query - Raw Data - LTL" description="Connection to the 'Raw Data - LTL' query in the workbook." type="5" refreshedVersion="8" background="1" saveData="1">
    <dbPr connection="Provider=Microsoft.Mashup.OleDb.1;Data Source=$Workbook$;Location=&quot;Raw Data - LTL&quot;;Extended Properties=&quot;&quot;" command="SELECT * FROM [Raw Data - LTL]"/>
  </connection>
  <connection id="4" xr16:uid="{1088B257-9986-4E58-835E-5C0C323D97B7}" keepAlive="1" name="Query - Raw Data- cẩu" description="Connection to the 'Raw Data- cẩu' query in the workbook." type="5" refreshedVersion="8" background="1" saveData="1">
    <dbPr connection="Provider=Microsoft.Mashup.OleDb.1;Data Source=$Workbook$;Location=&quot;Raw Data- cẩu&quot;;Extended Properties=&quot;&quot;" command="SELECT * FROM [Raw Data- cẩu]"/>
  </connection>
  <connection id="5" xr16:uid="{D0F49205-AE5A-4AC8-90AE-8B2BE9F75B94}" keepAlive="1" name="Query - Raw Data- ngắn" description="Connection to the 'Raw Data- ngắn' query in the workbook." type="5" refreshedVersion="8" background="1" saveData="1">
    <dbPr connection="Provider=Microsoft.Mashup.OleDb.1;Data Source=$Workbook$;Location=&quot;Raw Data- ngắn&quot;;Extended Properties=&quot;&quot;" command="SELECT * FROM [Raw Data- ngắn]"/>
  </connection>
  <connection id="6" xr16:uid="{BB743DD0-4E04-4495-A439-71530F10A18B}"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7" xr16:uid="{8E628DEA-3654-4E50-9EBD-405394A7FE5B}"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8" xr16:uid="{68D81C2E-07E4-4F49-823D-9A2E59F34679}"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9" xr16:uid="{8076338A-12C6-4EB2-AF14-90481B36002D}" keepAlive="1" name="Query - TRANSPORTATION COST - RAW DATA - FACTORY" description="Connection to the 'TRANSPORTATION COST - RAW DATA - FACTORY' query in the workbook." type="5" refreshedVersion="8" background="1" saveData="1">
    <dbPr connection="Provider=Microsoft.Mashup.OleDb.1;Data Source=$Workbook$;Location=&quot;TRANSPORTATION COST - RAW DATA - FACTORY&quot;;Extended Properties=&quot;&quot;" command="SELECT * FROM [TRANSPORTATION COST - RAW DATA - FACTORY]"/>
  </connection>
  <connection id="10" xr16:uid="{8345E59C-3031-456F-8A9A-D99BF117E6B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1" xr16:uid="{9EF19590-51BD-4641-BFC5-6244E68AFCC4}" name="WorksheetConnection_Dashboard - DAV Transportation Cost.xlsm!TRANSPORTATION_COST___RAW_DATA___FACTORY" type="102" refreshedVersion="8" minRefreshableVersion="5">
    <extLst>
      <ext xmlns:x15="http://schemas.microsoft.com/office/spreadsheetml/2010/11/main" uri="{DE250136-89BD-433C-8126-D09CA5730AF9}">
        <x15:connection id="TRANSPORTATION_COST___RAW_DATA___FACTORY" autoDelete="1">
          <x15:rangePr sourceName="_xlcn.WorksheetConnection_DashboardDAVTransportationCost.xlsmTRANSPORTATION_COST___RAW_DATA___FACTORY1"/>
        </x15:connection>
      </ext>
    </extLst>
  </connection>
  <connection id="12" xr16:uid="{D1002293-5E07-42C2-A9D4-693DCC8218E2}" name="WorksheetConnection_test.xlsx!Table_Raw_Data___dài" type="102" refreshedVersion="8" minRefreshableVersion="5">
    <extLst>
      <ext xmlns:x15="http://schemas.microsoft.com/office/spreadsheetml/2010/11/main" uri="{DE250136-89BD-433C-8126-D09CA5730AF9}">
        <x15:connection id="Table_Raw_Data___dài" autoDelete="1">
          <x15:rangePr sourceName="_xlcn.WorksheetConnection_test.xlsxTable_Raw_Data___dài1"/>
        </x15:connection>
      </ext>
    </extLst>
  </connection>
  <connection id="13" xr16:uid="{D22AC57F-96B1-448E-9B0A-8D20F87E5C4B}" name="WorksheetConnection_test.xlsx!Table_Raw_Data___LTL" type="102" refreshedVersion="8" minRefreshableVersion="5">
    <extLst>
      <ext xmlns:x15="http://schemas.microsoft.com/office/spreadsheetml/2010/11/main" uri="{DE250136-89BD-433C-8126-D09CA5730AF9}">
        <x15:connection id="Table_Raw_Data___LTL" autoDelete="1">
          <x15:rangePr sourceName="_xlcn.WorksheetConnection_test.xlsxTable_Raw_Data___LTL1"/>
        </x15:connection>
      </ext>
    </extLst>
  </connection>
  <connection id="14" xr16:uid="{67C116C0-7364-4C8E-B0C3-ABE4C922C47C}" name="WorksheetConnection_test.xlsx!Table_Raw_Data__ngắn" type="102" refreshedVersion="8" minRefreshableVersion="5">
    <extLst>
      <ext xmlns:x15="http://schemas.microsoft.com/office/spreadsheetml/2010/11/main" uri="{DE250136-89BD-433C-8126-D09CA5730AF9}">
        <x15:connection id="Table_Raw_Data__ngắn" autoDelete="1">
          <x15:rangePr sourceName="_xlcn.WorksheetConnection_test.xlsxTable_Raw_Data__ngắn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6">
    <s v="ThisWorkbookDataModel"/>
    <s v="{[Table_Raw_Data__ngắn].[Tháng].[All]}"/>
    <s v="{[Table_Raw_Data__ngắn].[Chi nhánh].[All]}"/>
    <s v="{[Table_Raw_Data___dài].[Tháng].[All]}"/>
    <s v="{[Table_Raw_Data___dài].[Chi nhánh].[All]}"/>
    <s v="{[TRANSPORTATION_COST___RAW_DATA___FACTORY].[Branch].&amp;[TOTAL]}"/>
  </metadataStrings>
  <mdxMetadata count="5">
    <mdx n="0" f="s">
      <ms ns="1" c="0"/>
    </mdx>
    <mdx n="0" f="s">
      <ms ns="2" c="0"/>
    </mdx>
    <mdx n="0" f="s">
      <ms ns="3" c="0"/>
    </mdx>
    <mdx n="0" f="s">
      <ms ns="4" c="0"/>
    </mdx>
    <mdx n="0" f="s">
      <ms ns="5" c="0"/>
    </mdx>
  </mdxMetadata>
  <valueMetadata count="5">
    <bk>
      <rc t="1" v="0"/>
    </bk>
    <bk>
      <rc t="1" v="1"/>
    </bk>
    <bk>
      <rc t="1" v="2"/>
    </bk>
    <bk>
      <rc t="1" v="3"/>
    </bk>
    <bk>
      <rc t="1" v="4"/>
    </bk>
  </valueMetadata>
</metadata>
</file>

<file path=xl/sharedStrings.xml><?xml version="1.0" encoding="utf-8"?>
<sst xmlns="http://schemas.openxmlformats.org/spreadsheetml/2006/main" count="1624" uniqueCount="88">
  <si>
    <t>Tháng</t>
  </si>
  <si>
    <t>Chi nhánh</t>
  </si>
  <si>
    <t>Nhà vận tải</t>
  </si>
  <si>
    <t>KPI- cẩu</t>
  </si>
  <si>
    <t>KPI- LTL</t>
  </si>
  <si>
    <t>DN</t>
  </si>
  <si>
    <t>NHUT LIEN</t>
  </si>
  <si>
    <t>NHAT QUANG</t>
  </si>
  <si>
    <t>NHAT PHONG VAN</t>
  </si>
  <si>
    <t>NHAT TIN</t>
  </si>
  <si>
    <t>NETCO</t>
  </si>
  <si>
    <t>PHUONG ANH</t>
  </si>
  <si>
    <t>HP</t>
  </si>
  <si>
    <t>CITY</t>
  </si>
  <si>
    <t>GHP</t>
  </si>
  <si>
    <t>NA</t>
  </si>
  <si>
    <t>KH</t>
  </si>
  <si>
    <t>KHANG THINH</t>
  </si>
  <si>
    <t>THUAN THANH TIN</t>
  </si>
  <si>
    <t>CT</t>
  </si>
  <si>
    <t>LOGITEM</t>
  </si>
  <si>
    <t>THUY ANH</t>
  </si>
  <si>
    <t>HN</t>
  </si>
  <si>
    <t>TASETCO</t>
  </si>
  <si>
    <t>ANH MINH</t>
  </si>
  <si>
    <t>PHUONG DUC</t>
  </si>
  <si>
    <t>HOI TU</t>
  </si>
  <si>
    <t>VINAFCO</t>
  </si>
  <si>
    <t>HCM</t>
  </si>
  <si>
    <t>SPNL</t>
  </si>
  <si>
    <t>TUAN QUANG-CAU</t>
  </si>
  <si>
    <t>INTERLOG</t>
  </si>
  <si>
    <t>PC</t>
  </si>
  <si>
    <t>NANG DONG</t>
  </si>
  <si>
    <t>Chi Phí - ngắn</t>
  </si>
  <si>
    <t>KPI- ngắn</t>
  </si>
  <si>
    <t>Chi Phí - LTL</t>
  </si>
  <si>
    <t>Chi Phí- Cẩu</t>
  </si>
  <si>
    <t>Chi Phí- Dài</t>
  </si>
  <si>
    <t>KPI-dài</t>
  </si>
  <si>
    <t>Row Labels</t>
  </si>
  <si>
    <t>Grand Total</t>
  </si>
  <si>
    <t>Sum of Chi Phí - ngắn</t>
  </si>
  <si>
    <t>Column Labels</t>
  </si>
  <si>
    <t>Average of KPI- ngắn</t>
  </si>
  <si>
    <t>Excellent</t>
  </si>
  <si>
    <t>Good.</t>
  </si>
  <si>
    <t>Need to improve</t>
  </si>
  <si>
    <t>All</t>
  </si>
  <si>
    <t>Metrics</t>
  </si>
  <si>
    <t>Tổng số tiền</t>
  </si>
  <si>
    <t>Tổng số vendor</t>
  </si>
  <si>
    <t>Count of Nhà vận tải</t>
  </si>
  <si>
    <t>Tỉ trong</t>
  </si>
  <si>
    <t>Avg KPI</t>
  </si>
  <si>
    <t>Sum of Chi Phí- Dài</t>
  </si>
  <si>
    <t>Average of KPI-dài</t>
  </si>
  <si>
    <t>Good</t>
  </si>
  <si>
    <t>Sum of Chi Phí - LTL</t>
  </si>
  <si>
    <t>Average of KPI- LTL</t>
  </si>
  <si>
    <t>Month</t>
  </si>
  <si>
    <t>Branch</t>
  </si>
  <si>
    <t>SCOPE</t>
  </si>
  <si>
    <t>VENDOR</t>
  </si>
  <si>
    <t>Qty</t>
  </si>
  <si>
    <t>CBM</t>
  </si>
  <si>
    <t>Amount</t>
  </si>
  <si>
    <t>SEA</t>
  </si>
  <si>
    <t>DRAGON</t>
  </si>
  <si>
    <t>BUU CHINH</t>
  </si>
  <si>
    <t>HAI AN</t>
  </si>
  <si>
    <t>TRUCK</t>
  </si>
  <si>
    <t>CPN</t>
  </si>
  <si>
    <t>OTHER</t>
  </si>
  <si>
    <t>HP điều xe</t>
  </si>
  <si>
    <t>SENKO</t>
  </si>
  <si>
    <t>TOTAL</t>
  </si>
  <si>
    <t>Sum of Amount</t>
  </si>
  <si>
    <t>TOTAL COST</t>
  </si>
  <si>
    <t>RATIO</t>
  </si>
  <si>
    <t>TOTAL DAVF</t>
  </si>
  <si>
    <t>COST BY BRANCH</t>
  </si>
  <si>
    <t>AMOUNT USING ( MIL )</t>
  </si>
  <si>
    <t>TRIP</t>
  </si>
  <si>
    <t>VND/CBM</t>
  </si>
  <si>
    <t>Sum of Qty</t>
  </si>
  <si>
    <t>Sum of CBM</t>
  </si>
  <si>
    <t>DEMURAGE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</si>
</sst>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_(* #,##0_);_(* \(#,##0\);_(* &quot;-&quot;??_);_(@_)"/>
    <numFmt numFmtId="165" formatCode="0.0%"/>
  </numFmts>
  <fonts count="4" x14ac:knownFonts="1">
    <font>
      <sz val="11"/>
      <color theme="1"/>
      <name val="Calibri"/>
      <family val="2"/>
      <scheme val="minor"/>
    </font>
    <font>
      <sz val="8"/>
      <name val="Calibri"/>
      <family val="2"/>
      <scheme val="minor"/>
    </font>
    <font>
      <sz val="11"/>
      <color theme="1"/>
      <name val="Calibri"/>
      <family val="2"/>
      <scheme val="minor"/>
    </font>
    <font>
      <b/>
      <sz val="11"/>
      <name val="Calibri"/>
      <family val="2"/>
      <scheme val="minor"/>
    </font>
  </fonts>
  <fills count="9">
    <fill>
      <patternFill patternType="none"/>
    </fill>
    <fill>
      <patternFill patternType="gray125"/>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61">
    <xf numFmtId="0" fontId="0" fillId="0" borderId="0" xfId="0"/>
    <xf numFmtId="0" fontId="0" fillId="2" borderId="0" xfId="0" applyFill="1"/>
    <xf numFmtId="164" fontId="0" fillId="3" borderId="0" xfId="0" applyNumberFormat="1" applyFill="1"/>
    <xf numFmtId="0" fontId="0" fillId="3" borderId="0" xfId="0" applyFill="1"/>
    <xf numFmtId="164" fontId="0" fillId="3" borderId="0" xfId="0" applyNumberFormat="1" applyFill="1" applyAlignment="1">
      <alignment horizontal="left"/>
    </xf>
    <xf numFmtId="0" fontId="0" fillId="4" borderId="0" xfId="0" applyFill="1"/>
    <xf numFmtId="0" fontId="0" fillId="4" borderId="0" xfId="0" applyFill="1" applyAlignment="1">
      <alignment horizontal="left"/>
    </xf>
    <xf numFmtId="9" fontId="0" fillId="4" borderId="0" xfId="0" applyNumberFormat="1" applyFill="1"/>
    <xf numFmtId="10" fontId="0" fillId="4" borderId="0" xfId="0" applyNumberFormat="1" applyFill="1"/>
    <xf numFmtId="164" fontId="0" fillId="3" borderId="1" xfId="0" applyNumberFormat="1" applyFill="1" applyBorder="1"/>
    <xf numFmtId="0" fontId="0" fillId="3" borderId="1" xfId="0" applyFill="1" applyBorder="1"/>
    <xf numFmtId="164" fontId="0" fillId="3" borderId="1" xfId="1" applyNumberFormat="1" applyFont="1" applyFill="1" applyBorder="1"/>
    <xf numFmtId="9" fontId="0" fillId="3" borderId="1" xfId="2" applyFont="1" applyFill="1" applyBorder="1"/>
    <xf numFmtId="10" fontId="0" fillId="3" borderId="1" xfId="2" applyNumberFormat="1" applyFont="1" applyFill="1" applyBorder="1"/>
    <xf numFmtId="0" fontId="0" fillId="3" borderId="0" xfId="0" applyFill="1" applyAlignment="1">
      <alignment horizontal="left"/>
    </xf>
    <xf numFmtId="0" fontId="0" fillId="6" borderId="0" xfId="0" applyFill="1"/>
    <xf numFmtId="0" fontId="0" fillId="6" borderId="0" xfId="0" applyFill="1" applyAlignment="1">
      <alignment horizontal="left"/>
    </xf>
    <xf numFmtId="165" fontId="0" fillId="6" borderId="0" xfId="0" applyNumberFormat="1" applyFill="1"/>
    <xf numFmtId="43" fontId="0" fillId="3" borderId="0" xfId="0" applyNumberFormat="1" applyFill="1"/>
    <xf numFmtId="43" fontId="0" fillId="3" borderId="0" xfId="0" applyNumberFormat="1" applyFill="1" applyAlignment="1">
      <alignment horizontal="left"/>
    </xf>
    <xf numFmtId="10" fontId="0" fillId="6" borderId="0" xfId="0" applyNumberFormat="1" applyFill="1"/>
    <xf numFmtId="43" fontId="0" fillId="0" borderId="0" xfId="1" applyFont="1"/>
    <xf numFmtId="0" fontId="0" fillId="5" borderId="0" xfId="0" applyFill="1"/>
    <xf numFmtId="0" fontId="3" fillId="3" borderId="0" xfId="0" applyFont="1" applyFill="1" applyAlignment="1">
      <alignment horizontal="left"/>
    </xf>
    <xf numFmtId="43" fontId="3" fillId="3" borderId="0" xfId="0" applyNumberFormat="1" applyFont="1" applyFill="1"/>
    <xf numFmtId="43" fontId="0" fillId="3" borderId="1" xfId="1" applyFont="1" applyFill="1" applyBorder="1"/>
    <xf numFmtId="165" fontId="0" fillId="3" borderId="1" xfId="2" applyNumberFormat="1" applyFont="1"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5" borderId="7" xfId="0" applyFill="1" applyBorder="1"/>
    <xf numFmtId="0" fontId="0" fillId="5" borderId="8" xfId="0" applyFill="1" applyBorder="1"/>
    <xf numFmtId="0" fontId="0" fillId="5" borderId="9"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164" fontId="0" fillId="0" borderId="0" xfId="1" applyNumberFormat="1" applyFont="1"/>
    <xf numFmtId="0" fontId="0" fillId="7" borderId="0" xfId="0" applyFill="1"/>
    <xf numFmtId="0" fontId="0" fillId="7" borderId="0" xfId="0" applyFill="1" applyAlignment="1">
      <alignment horizontal="left"/>
    </xf>
    <xf numFmtId="43" fontId="0" fillId="7" borderId="0" xfId="0" applyNumberFormat="1" applyFill="1"/>
    <xf numFmtId="0" fontId="0" fillId="8" borderId="0" xfId="0" applyFill="1"/>
    <xf numFmtId="43" fontId="0" fillId="7" borderId="0" xfId="1" applyFont="1" applyFill="1"/>
    <xf numFmtId="164" fontId="0" fillId="7" borderId="0" xfId="1" applyNumberFormat="1" applyFont="1" applyFill="1"/>
    <xf numFmtId="164" fontId="0" fillId="7" borderId="0" xfId="0" applyNumberFormat="1" applyFill="1"/>
    <xf numFmtId="165" fontId="0" fillId="7" borderId="0" xfId="2" applyNumberFormat="1" applyFont="1" applyFill="1"/>
    <xf numFmtId="0" fontId="0" fillId="7" borderId="1" xfId="0" applyFill="1" applyBorder="1"/>
    <xf numFmtId="164" fontId="0" fillId="7" borderId="1" xfId="1" applyNumberFormat="1" applyFont="1" applyFill="1" applyBorder="1"/>
    <xf numFmtId="165" fontId="0" fillId="7" borderId="1" xfId="2" applyNumberFormat="1" applyFont="1" applyFill="1" applyBorder="1"/>
    <xf numFmtId="164" fontId="0" fillId="7" borderId="1" xfId="0" applyNumberFormat="1" applyFill="1" applyBorder="1"/>
    <xf numFmtId="0" fontId="0" fillId="3" borderId="1" xfId="0" applyFill="1" applyBorder="1" applyAlignment="1">
      <alignment horizontal="center"/>
    </xf>
    <xf numFmtId="0" fontId="0" fillId="0" borderId="0" xfId="0" applyNumberFormat="1"/>
    <xf numFmtId="0" fontId="0" fillId="3" borderId="0" xfId="0" applyNumberFormat="1" applyFill="1"/>
    <xf numFmtId="0" fontId="0" fillId="6" borderId="0" xfId="0" applyNumberFormat="1" applyFill="1"/>
    <xf numFmtId="0" fontId="0" fillId="7" borderId="0" xfId="0" applyNumberFormat="1" applyFill="1"/>
  </cellXfs>
  <cellStyles count="3">
    <cellStyle name="Comma" xfId="1" builtinId="3"/>
    <cellStyle name="Normal" xfId="0" builtinId="0"/>
    <cellStyle name="Percent" xfId="2" builtinId="5"/>
  </cellStyles>
  <dxfs count="622">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bgColor theme="7" tint="0.79998168889431442"/>
        </patternFill>
      </fill>
    </dxf>
    <dxf>
      <fill>
        <patternFill>
          <bgColor theme="7" tint="0.79998168889431442"/>
        </patternFill>
      </fill>
    </dxf>
    <dxf>
      <numFmt numFmtId="35" formatCode="_(* #,##0.00_);_(* \(#,##0.00\);_(* &quot;-&quot;??_);_(@_)"/>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font>
    </dxf>
    <dxf>
      <font>
        <b/>
      </font>
    </dxf>
    <dxf>
      <font>
        <color auto="1"/>
      </font>
    </dxf>
    <dxf>
      <font>
        <color auto="1"/>
      </font>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bgColor theme="7" tint="0.79998168889431442"/>
        </patternFill>
      </fill>
    </dxf>
    <dxf>
      <fill>
        <patternFill>
          <bgColor theme="7" tint="0.79998168889431442"/>
        </patternFill>
      </fill>
    </dxf>
    <dxf>
      <numFmt numFmtId="35" formatCode="_(* #,##0.00_);_(* \(#,##0.00\);_(* &quot;-&quot;??_);_(@_)"/>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font>
    </dxf>
    <dxf>
      <font>
        <b/>
      </font>
    </dxf>
    <dxf>
      <font>
        <color auto="1"/>
      </font>
    </dxf>
    <dxf>
      <font>
        <color auto="1"/>
      </font>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bgColor theme="7" tint="0.79998168889431442"/>
        </patternFill>
      </fill>
    </dxf>
    <dxf>
      <fill>
        <patternFill>
          <bgColor theme="7" tint="0.79998168889431442"/>
        </patternFill>
      </fill>
    </dxf>
    <dxf>
      <numFmt numFmtId="35" formatCode="_(* #,##0.00_);_(* \(#,##0.00\);_(* &quot;-&quot;??_);_(@_)"/>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font>
    </dxf>
    <dxf>
      <font>
        <b/>
      </font>
    </dxf>
    <dxf>
      <font>
        <color auto="1"/>
      </font>
    </dxf>
    <dxf>
      <font>
        <color auto="1"/>
      </font>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bgColor theme="7" tint="0.79998168889431442"/>
        </patternFill>
      </fill>
    </dxf>
    <dxf>
      <fill>
        <patternFill>
          <bgColor theme="7" tint="0.79998168889431442"/>
        </patternFill>
      </fill>
    </dxf>
    <dxf>
      <numFmt numFmtId="35" formatCode="_(* #,##0.00_);_(* \(#,##0.00\);_(* &quot;-&quot;??_);_(@_)"/>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font>
    </dxf>
    <dxf>
      <font>
        <b/>
      </font>
    </dxf>
    <dxf>
      <font>
        <color auto="1"/>
      </font>
    </dxf>
    <dxf>
      <font>
        <color auto="1"/>
      </font>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64" formatCode="_(* #,##0_);_(* \(#,##0\);_(* &quot;-&quot;??_);_(@_)"/>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_(* #,##0_);_(* \(#,##0\);_(* &quot;-&quot;??_);_(@_)"/>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4" formatCode="_(* #,##0_);_(* \(#,##0\);_(* &quot;-&quot;??_);_(@_)"/>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4" formatCode="_(* #,##0_);_(* \(#,##0\);_(* &quot;-&quot;??_);_(@_)"/>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35" formatCode="_(* #,##0.00_);_(* \(#,##0.00\);_(* &quot;-&quot;??_);_(@_)"/>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35" formatCode="_(* #,##0.00_);_(* \(#,##0.00\);_(* &quot;-&quot;??_);_(@_)"/>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4" formatCode="_(* #,##0_);_(* \(#,##0\);_(* &quot;-&quot;??_);_(@_)"/>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0" formatCode="General"/>
    </dxf>
    <dxf>
      <numFmt numFmtId="0" formatCode="General"/>
    </dxf>
    <dxf>
      <numFmt numFmtId="0" formatCode="General"/>
    </dxf>
    <dxf>
      <font>
        <color auto="1"/>
      </font>
    </dxf>
    <dxf>
      <font>
        <color auto="1"/>
      </font>
    </dxf>
    <dxf>
      <font>
        <b/>
      </font>
    </dxf>
    <dxf>
      <font>
        <b/>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5" formatCode="_(* #,##0.00_);_(* \(#,##0.00\);_(* &quot;-&quot;??_);_(@_)"/>
    </dxf>
    <dxf>
      <fill>
        <patternFill>
          <bgColor theme="7" tint="0.79998168889431442"/>
        </patternFill>
      </fill>
    </dxf>
    <dxf>
      <fill>
        <patternFill>
          <bgColor theme="7" tint="0.79998168889431442"/>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4" formatCode="0.00%"/>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4" formatCode="0.0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numFmt numFmtId="14" formatCode="0.0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35" formatCode="_(* #,##0.00_);_(* \(#,##0.00\);_(* &quot;-&quot;??_);_(@_)"/>
    </dxf>
    <dxf>
      <numFmt numFmtId="166" formatCode="_(* #,##0.0_);_(* \(#,##0.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5" formatCode="0.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numFmt numFmtId="14" formatCode="0.00%"/>
    </dxf>
    <dxf>
      <numFmt numFmtId="164" formatCode="_(* #,##0_);_(* \(#,##0\);_(* &quot;-&quot;??_);_(@_)"/>
    </dxf>
    <dxf>
      <numFmt numFmtId="13" formatCode="0%"/>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numFmt numFmtId="13" formatCode="0%"/>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ill>
        <patternFill>
          <bgColor theme="9" tint="0.39994506668294322"/>
        </patternFill>
      </fill>
    </dxf>
    <dxf>
      <fill>
        <patternFill patternType="none">
          <bgColor auto="1"/>
        </patternFill>
      </fill>
    </dxf>
    <dxf>
      <fill>
        <patternFill patternType="none">
          <bgColor auto="1"/>
        </patternFill>
      </fill>
    </dxf>
    <dxf>
      <fill>
        <patternFill>
          <fgColor rgb="FF00FFFF"/>
        </patternFill>
      </fill>
    </dxf>
  </dxfs>
  <tableStyles count="4" defaultTableStyle="TableStyleMedium2" defaultPivotStyle="PivotStyleLight16">
    <tableStyle name="Slicer Style 1" pivot="0" table="0" count="1" xr9:uid="{1051471D-39B7-4488-B5D4-4FD66D9AA668}">
      <tableStyleElement type="wholeTable" dxfId="621"/>
    </tableStyle>
    <tableStyle name="Slicer Style 2" pivot="0" table="0" count="1" xr9:uid="{1E141C0A-B4AE-4579-BB89-F49A22C74F67}">
      <tableStyleElement type="wholeTable" dxfId="620"/>
    </tableStyle>
    <tableStyle name="Slicer Style 3" pivot="0" table="0" count="7" xr9:uid="{EE22575F-6853-4650-9C85-2FB40F941D12}">
      <tableStyleElement type="wholeTable" dxfId="619"/>
      <tableStyleElement type="headerRow" dxfId="618"/>
    </tableStyle>
    <tableStyle name="Slicer Style 4" pivot="0" table="0" count="1" xr9:uid="{A20D7D22-412A-417E-90C6-CFFD89A1CF5F}"/>
  </tableStyles>
  <colors>
    <mruColors>
      <color rgb="FF8BDBA9"/>
      <color rgb="FF00FFFF"/>
    </mruColors>
  </colors>
  <extLst>
    <ext xmlns:x14="http://schemas.microsoft.com/office/spreadsheetml/2009/9/main" uri="{46F421CA-312F-682f-3DD2-61675219B42D}">
      <x14:dxfs count="6">
        <dxf>
          <fill>
            <patternFill>
              <bgColor rgb="FFFF0000"/>
            </patternFill>
          </fill>
        </dxf>
        <dxf>
          <fill>
            <patternFill>
              <bgColor theme="7" tint="0.79998168889431442"/>
            </patternFill>
          </fill>
        </dxf>
        <dxf>
          <fill>
            <patternFill>
              <bgColor rgb="FFFFFF00"/>
            </patternFill>
          </fill>
        </dxf>
        <dxf>
          <fill>
            <patternFill>
              <bgColor rgb="FFFFC000"/>
            </patternFill>
          </fill>
        </dxf>
        <dxf>
          <fill>
            <patternFill>
              <bgColor rgb="FFC00000"/>
            </patternFill>
          </fill>
        </dxf>
        <dxf>
          <fill>
            <patternFill>
              <bgColor rgb="FF00B050"/>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s>
        </x14:slicerStyle>
        <x14:slicerStyle name="Slicer Style 4">
          <x14:slicerStyleElements>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openxmlformats.org/officeDocument/2006/relationships/pivotCacheDefinition" Target="pivotCache/pivotCacheDefinition13.xml"/><Relationship Id="rId39" Type="http://schemas.microsoft.com/office/2007/relationships/slicerCache" Target="slicerCaches/slicerCache3.xml"/><Relationship Id="rId21" Type="http://schemas.openxmlformats.org/officeDocument/2006/relationships/pivotCacheDefinition" Target="pivotCache/pivotCacheDefinition8.xml"/><Relationship Id="rId34" Type="http://schemas.openxmlformats.org/officeDocument/2006/relationships/pivotCacheDefinition" Target="pivotCache/pivotCacheDefinition21.xml"/><Relationship Id="rId42" Type="http://schemas.microsoft.com/office/2007/relationships/slicerCache" Target="slicerCaches/slicerCache6.xml"/><Relationship Id="rId47" Type="http://schemas.microsoft.com/office/2007/relationships/slicerCache" Target="slicerCaches/slicerCache11.xml"/><Relationship Id="rId50" Type="http://schemas.microsoft.com/office/2007/relationships/slicerCache" Target="slicerCaches/slicerCache14.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openxmlformats.org/officeDocument/2006/relationships/pivotCacheDefinition" Target="pivotCache/pivotCacheDefinition16.xml"/><Relationship Id="rId11" Type="http://schemas.openxmlformats.org/officeDocument/2006/relationships/worksheet" Target="worksheets/sheet11.xml"/><Relationship Id="rId24" Type="http://schemas.openxmlformats.org/officeDocument/2006/relationships/pivotCacheDefinition" Target="pivotCache/pivotCacheDefinition11.xml"/><Relationship Id="rId32" Type="http://schemas.openxmlformats.org/officeDocument/2006/relationships/pivotCacheDefinition" Target="pivotCache/pivotCacheDefinition19.xml"/><Relationship Id="rId37" Type="http://schemas.microsoft.com/office/2007/relationships/slicerCache" Target="slicerCaches/slicerCache1.xml"/><Relationship Id="rId40" Type="http://schemas.microsoft.com/office/2007/relationships/slicerCache" Target="slicerCaches/slicerCache4.xml"/><Relationship Id="rId45" Type="http://schemas.microsoft.com/office/2007/relationships/slicerCache" Target="slicerCaches/slicerCache9.xml"/><Relationship Id="rId53" Type="http://schemas.openxmlformats.org/officeDocument/2006/relationships/theme" Target="theme/theme1.xml"/><Relationship Id="rId58" Type="http://schemas.openxmlformats.org/officeDocument/2006/relationships/powerPivotData" Target="model/item.data"/><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openxmlformats.org/officeDocument/2006/relationships/pivotCacheDefinition" Target="pivotCache/pivotCacheDefinition9.xml"/><Relationship Id="rId27" Type="http://schemas.openxmlformats.org/officeDocument/2006/relationships/pivotCacheDefinition" Target="pivotCache/pivotCacheDefinition14.xml"/><Relationship Id="rId30" Type="http://schemas.openxmlformats.org/officeDocument/2006/relationships/pivotCacheDefinition" Target="pivotCache/pivotCacheDefinition17.xml"/><Relationship Id="rId35" Type="http://schemas.openxmlformats.org/officeDocument/2006/relationships/pivotCacheDefinition" Target="pivotCache/pivotCacheDefinition22.xml"/><Relationship Id="rId43" Type="http://schemas.microsoft.com/office/2007/relationships/slicerCache" Target="slicerCaches/slicerCache7.xml"/><Relationship Id="rId48" Type="http://schemas.microsoft.com/office/2007/relationships/slicerCache" Target="slicerCaches/slicerCache12.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1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pivotCacheDefinition" Target="pivotCache/pivotCacheDefinition12.xml"/><Relationship Id="rId33" Type="http://schemas.openxmlformats.org/officeDocument/2006/relationships/pivotCacheDefinition" Target="pivotCache/pivotCacheDefinition20.xml"/><Relationship Id="rId38" Type="http://schemas.microsoft.com/office/2007/relationships/slicerCache" Target="slicerCaches/slicerCache2.xml"/><Relationship Id="rId46" Type="http://schemas.microsoft.com/office/2007/relationships/slicerCache" Target="slicerCaches/slicerCache10.xml"/><Relationship Id="rId59" Type="http://schemas.openxmlformats.org/officeDocument/2006/relationships/calcChain" Target="calcChain.xml"/><Relationship Id="rId20" Type="http://schemas.openxmlformats.org/officeDocument/2006/relationships/pivotCacheDefinition" Target="pivotCache/pivotCacheDefinition7.xml"/><Relationship Id="rId41" Type="http://schemas.microsoft.com/office/2007/relationships/slicerCache" Target="slicerCaches/slicerCache5.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openxmlformats.org/officeDocument/2006/relationships/pivotCacheDefinition" Target="pivotCache/pivotCacheDefinition10.xml"/><Relationship Id="rId28" Type="http://schemas.openxmlformats.org/officeDocument/2006/relationships/pivotCacheDefinition" Target="pivotCache/pivotCacheDefinition15.xml"/><Relationship Id="rId36" Type="http://schemas.openxmlformats.org/officeDocument/2006/relationships/pivotCacheDefinition" Target="pivotCache/pivotCacheDefinition23.xml"/><Relationship Id="rId49" Type="http://schemas.microsoft.com/office/2007/relationships/slicerCache" Target="slicerCaches/slicerCache13.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pivotCacheDefinition" Target="pivotCache/pivotCacheDefinition18.xml"/><Relationship Id="rId44" Type="http://schemas.microsoft.com/office/2007/relationships/slicerCache" Target="slicerCaches/slicerCache8.xml"/><Relationship Id="rId52" Type="http://schemas.microsoft.com/office/2007/relationships/slicerCache" Target="slicerCaches/slicerCache16.xml"/><Relationship Id="rId6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 DAV Transportation Cost.xlsm]CALCULATION-NGẮN!chi phí</c:name>
    <c:fmtId val="4"/>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r>
              <a:rPr lang="en-US" sz="1800" b="0">
                <a:solidFill>
                  <a:schemeClr val="accent1">
                    <a:lumMod val="75000"/>
                  </a:schemeClr>
                </a:solidFill>
                <a:latin typeface="UTM Bebas" panose="02040603050506020204" pitchFamily="18" charset="0"/>
              </a:rPr>
              <a:t>COST USING BY MONTH</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4"/>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5"/>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6"/>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7"/>
        <c:spPr>
          <a:solidFill>
            <a:schemeClr val="accent1"/>
          </a:solidFill>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8"/>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9"/>
        <c:spPr>
          <a:solidFill>
            <a:schemeClr val="accent1"/>
          </a:solidFill>
          <a:ln w="28575" cap="rnd">
            <a:solidFill>
              <a:sysClr val="windowText" lastClr="0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0"/>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1"/>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0" i="0" u="none" strike="noStrike" kern="1200" baseline="0">
                    <a:solidFill>
                      <a:schemeClr val="accent5">
                        <a:lumMod val="75000"/>
                      </a:schemeClr>
                    </a:solidFill>
                    <a:latin typeface="+mn-lt"/>
                    <a:ea typeface="+mn-ea"/>
                    <a:cs typeface="+mn-cs"/>
                  </a:defRPr>
                </a:pPr>
                <a:fld id="{6C4181A2-D827-4D75-804D-FB607095F80C}" type="CELLRANGE">
                  <a:rPr lang="en-US"/>
                  <a:pPr>
                    <a:defRPr sz="1100" b="0" i="0" u="none" strike="noStrike" kern="1200" baseline="0">
                      <a:solidFill>
                        <a:schemeClr val="accent5">
                          <a:lumMod val="7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13"/>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14"/>
        <c:spPr>
          <a:solidFill>
            <a:schemeClr val="accent1"/>
          </a:solidFill>
          <a:ln w="28575" cap="rnd">
            <a:solidFill>
              <a:schemeClr val="accent2"/>
            </a:solidFill>
            <a:round/>
          </a:ln>
          <a:effectLst/>
        </c:spPr>
        <c:marker>
          <c:symbol val="none"/>
        </c:marker>
        <c:dLbl>
          <c:idx val="0"/>
          <c:layout>
            <c:manualLayout>
              <c:x val="-0.10875906640702174"/>
              <c:y val="-6.19946128781147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15"/>
        <c:spPr>
          <a:solidFill>
            <a:schemeClr val="accent1"/>
          </a:solidFill>
          <a:ln w="28575" cap="rnd">
            <a:solidFill>
              <a:schemeClr val="accent4"/>
            </a:solidFill>
            <a:round/>
          </a:ln>
          <a:effectLst/>
        </c:spPr>
        <c:marker>
          <c:symbol val="none"/>
        </c:marker>
        <c:dLbl>
          <c:idx val="0"/>
          <c:layout>
            <c:manualLayout>
              <c:x val="-0.10461476589619849"/>
              <c:y val="-0.21597536528406391"/>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fld id="{6DA2C858-183C-4A81-80B6-B701774F001D}" type="CELLRANGE">
                  <a:rPr lang="en-US"/>
                  <a:pPr>
                    <a:defRPr sz="1100" b="1" i="0" u="none" strike="noStrike" kern="1200" baseline="0">
                      <a:solidFill>
                        <a:schemeClr val="accent4"/>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6"/>
        <c:spPr>
          <a:solidFill>
            <a:schemeClr val="accent1"/>
          </a:solidFill>
          <a:ln w="28575" cap="rnd">
            <a:solidFill>
              <a:schemeClr val="accent2">
                <a:lumMod val="60000"/>
                <a:lumOff val="40000"/>
              </a:schemeClr>
            </a:solidFill>
            <a:round/>
          </a:ln>
          <a:effectLst/>
        </c:spPr>
        <c:marker>
          <c:symbol val="none"/>
        </c:marker>
        <c:dLbl>
          <c:idx val="0"/>
          <c:layout>
            <c:manualLayout>
              <c:x val="-0.10962817147856518"/>
              <c:y val="-0.1697026060718788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17"/>
        <c:spPr>
          <a:solidFill>
            <a:schemeClr val="accent1"/>
          </a:solidFill>
          <a:ln w="28575" cap="rnd">
            <a:solidFill>
              <a:schemeClr val="accent3"/>
            </a:solidFill>
            <a:round/>
          </a:ln>
          <a:effectLst/>
        </c:spPr>
        <c:marker>
          <c:symbol val="none"/>
        </c:marker>
        <c:dLbl>
          <c:idx val="0"/>
          <c:layout>
            <c:manualLayout>
              <c:x val="-0.11313182626365256"/>
              <c:y val="-0.13820626752364615"/>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3"/>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4.1675697795840037E-2"/>
                  <c:h val="5.594064521462376E-2"/>
                </c:manualLayout>
              </c15:layout>
              <c15:showDataLabelsRange val="1"/>
            </c:ext>
          </c:extLst>
        </c:dLbl>
      </c:pivotFmt>
      <c:pivotFmt>
        <c:idx val="18"/>
        <c:spPr>
          <a:solidFill>
            <a:schemeClr val="accent1"/>
          </a:solidFill>
          <a:ln w="28575" cap="rnd">
            <a:solidFill>
              <a:srgbClr val="FF0000"/>
            </a:solidFill>
            <a:round/>
          </a:ln>
          <a:effectLst/>
        </c:spPr>
        <c:marker>
          <c:symbol val="none"/>
        </c:marker>
        <c:dLbl>
          <c:idx val="0"/>
          <c:layout>
            <c:manualLayout>
              <c:x val="-0.10867383512544802"/>
              <c:y val="-9.271222986890431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19"/>
        <c:spPr>
          <a:solidFill>
            <a:schemeClr val="accent1"/>
          </a:solidFill>
          <a:ln w="28575" cap="rnd">
            <a:solidFill>
              <a:sysClr val="windowText" lastClr="000000"/>
            </a:solidFill>
            <a:round/>
          </a:ln>
          <a:effectLst/>
        </c:spPr>
        <c:marker>
          <c:symbol val="none"/>
        </c:marker>
        <c:dLbl>
          <c:idx val="0"/>
          <c:layout>
            <c:manualLayout>
              <c:x val="-0.11921146953405018"/>
              <c:y val="-1.924773182879699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ysClr val="windowText" lastClr="00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5.0215053763440862E-2"/>
                  <c:h val="8.0437583097388396E-2"/>
                </c:manualLayout>
              </c15:layout>
              <c15:showDataLabelsRange val="1"/>
            </c:ext>
          </c:extLst>
        </c:dLbl>
      </c:pivotFmt>
      <c:pivotFmt>
        <c:idx val="20"/>
        <c:spPr>
          <a:solidFill>
            <a:schemeClr val="accent1"/>
          </a:solidFill>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21"/>
        <c:spPr>
          <a:solidFill>
            <a:schemeClr val="accent1"/>
          </a:solidFill>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22"/>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23"/>
        <c:spPr>
          <a:solidFill>
            <a:schemeClr val="accent1"/>
          </a:solidFill>
          <a:ln w="28575" cap="rnd">
            <a:solidFill>
              <a:schemeClr val="accent4"/>
            </a:solidFill>
            <a:round/>
          </a:ln>
          <a:effectLst/>
        </c:spPr>
        <c:marker>
          <c:symbol val="none"/>
        </c:marker>
        <c:dLbl>
          <c:idx val="0"/>
          <c:layout>
            <c:manualLayout>
              <c:x val="-0.10461476589619849"/>
              <c:y val="-0.21597536528406391"/>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fld id="{345297FE-814D-47D7-9DA1-0C69E7C7CEDB}" type="CELLRANGE">
                  <a:rPr lang="en-US"/>
                  <a:pPr>
                    <a:defRPr sz="1100" b="1" i="0" u="none" strike="noStrike" kern="1200" baseline="0">
                      <a:solidFill>
                        <a:schemeClr val="accent4"/>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4"/>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25"/>
        <c:spPr>
          <a:solidFill>
            <a:schemeClr val="accent1"/>
          </a:solidFill>
          <a:ln w="28575" cap="rnd">
            <a:solidFill>
              <a:schemeClr val="accent2">
                <a:lumMod val="60000"/>
                <a:lumOff val="40000"/>
              </a:schemeClr>
            </a:solidFill>
            <a:round/>
          </a:ln>
          <a:effectLst/>
        </c:spPr>
        <c:marker>
          <c:symbol val="none"/>
        </c:marker>
        <c:dLbl>
          <c:idx val="0"/>
          <c:layout>
            <c:manualLayout>
              <c:x val="-0.10962817147856518"/>
              <c:y val="-0.1697026060718788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26"/>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27"/>
        <c:spPr>
          <a:solidFill>
            <a:schemeClr val="accent1"/>
          </a:solidFill>
          <a:ln w="28575" cap="rnd">
            <a:solidFill>
              <a:schemeClr val="accent2"/>
            </a:solidFill>
            <a:round/>
          </a:ln>
          <a:effectLst/>
        </c:spPr>
        <c:marker>
          <c:symbol val="none"/>
        </c:marker>
        <c:dLbl>
          <c:idx val="0"/>
          <c:layout>
            <c:manualLayout>
              <c:x val="-0.10875906640702174"/>
              <c:y val="-6.19946128781147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28"/>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29"/>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0" i="0" u="none" strike="noStrike" kern="1200" baseline="0">
                    <a:solidFill>
                      <a:schemeClr val="accent5">
                        <a:lumMod val="75000"/>
                      </a:schemeClr>
                    </a:solidFill>
                    <a:latin typeface="+mn-lt"/>
                    <a:ea typeface="+mn-ea"/>
                    <a:cs typeface="+mn-cs"/>
                  </a:defRPr>
                </a:pPr>
                <a:fld id="{8BC1F9FF-E785-487F-B8BA-B663FAB16820}" type="CELLRANGE">
                  <a:rPr lang="en-US"/>
                  <a:pPr>
                    <a:defRPr sz="1100" b="0" i="0" u="none" strike="noStrike" kern="1200" baseline="0">
                      <a:solidFill>
                        <a:schemeClr val="accent5">
                          <a:lumMod val="7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spPr>
          <a:solidFill>
            <a:schemeClr val="accent1"/>
          </a:solidFill>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1"/>
        <c:spPr>
          <a:solidFill>
            <a:schemeClr val="accent1"/>
          </a:solidFill>
          <a:ln w="28575" cap="rnd">
            <a:solidFill>
              <a:schemeClr val="accent3"/>
            </a:solidFill>
            <a:round/>
          </a:ln>
          <a:effectLst/>
        </c:spPr>
        <c:marker>
          <c:symbol val="none"/>
        </c:marker>
        <c:dLbl>
          <c:idx val="0"/>
          <c:layout>
            <c:manualLayout>
              <c:x val="-0.11313182626365256"/>
              <c:y val="-0.13820626752364615"/>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3"/>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4.1675697795840037E-2"/>
                  <c:h val="5.594064521462376E-2"/>
                </c:manualLayout>
              </c15:layout>
              <c15:showDataLabelsRange val="1"/>
            </c:ext>
          </c:extLst>
        </c:dLbl>
      </c:pivotFmt>
      <c:pivotFmt>
        <c:idx val="3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3"/>
        <c:spPr>
          <a:solidFill>
            <a:schemeClr val="accent1"/>
          </a:solidFill>
          <a:ln w="28575" cap="rnd">
            <a:solidFill>
              <a:srgbClr val="FF0000"/>
            </a:solidFill>
            <a:round/>
          </a:ln>
          <a:effectLst/>
        </c:spPr>
        <c:marker>
          <c:symbol val="none"/>
        </c:marker>
        <c:dLbl>
          <c:idx val="0"/>
          <c:layout>
            <c:manualLayout>
              <c:x val="-0.10867383512544802"/>
              <c:y val="-9.271222986890431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showDataLabelsRange val="1"/>
            </c:ext>
          </c:extLst>
        </c:dLbl>
      </c:pivotFmt>
      <c:pivotFmt>
        <c:idx val="34"/>
        <c:spPr>
          <a:solidFill>
            <a:schemeClr val="accent1"/>
          </a:solidFill>
          <a:ln w="28575" cap="rnd">
            <a:solidFill>
              <a:sysClr val="windowText" lastClr="0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5"/>
        <c:spPr>
          <a:solidFill>
            <a:schemeClr val="accent1"/>
          </a:solidFill>
          <a:ln w="28575" cap="rnd">
            <a:solidFill>
              <a:sysClr val="windowText" lastClr="000000"/>
            </a:solidFill>
            <a:round/>
          </a:ln>
          <a:effectLst/>
        </c:spPr>
        <c:marker>
          <c:symbol val="none"/>
        </c:marker>
        <c:dLbl>
          <c:idx val="0"/>
          <c:layout>
            <c:manualLayout>
              <c:x val="-0.11921146953405018"/>
              <c:y val="-1.924773182879699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ysClr val="windowText" lastClr="00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5.0215053763440862E-2"/>
                  <c:h val="8.0437583097388396E-2"/>
                </c:manualLayout>
              </c15:layout>
              <c15:showDataLabelsRange val="1"/>
            </c:ext>
          </c:extLst>
        </c:dLbl>
      </c:pivotFmt>
      <c:pivotFmt>
        <c:idx val="36"/>
        <c:spPr>
          <a:solidFill>
            <a:schemeClr val="accent1"/>
          </a:solidFill>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37"/>
        <c:spPr>
          <a:solidFill>
            <a:schemeClr val="accent1"/>
          </a:solidFill>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38"/>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39"/>
        <c:spPr>
          <a:solidFill>
            <a:schemeClr val="accent1"/>
          </a:solidFill>
          <a:ln w="28575" cap="rnd">
            <a:solidFill>
              <a:schemeClr val="accent5">
                <a:lumMod val="75000"/>
              </a:schemeClr>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40"/>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41"/>
        <c:spPr>
          <a:ln w="28575" cap="rnd">
            <a:solidFill>
              <a:schemeClr val="accent4"/>
            </a:solidFill>
            <a:round/>
          </a:ln>
          <a:effectLst/>
        </c:spPr>
        <c:marker>
          <c:symbol val="none"/>
        </c:marker>
        <c:dLbl>
          <c:idx val="0"/>
          <c:layout>
            <c:manualLayout>
              <c:x val="-0.11065711952169123"/>
              <c:y val="-0.2159751849200668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fld id="{982319D9-AB8E-474F-8BDE-44E68B02B715}" type="CELLRANGE">
                  <a:rPr lang="en-US"/>
                  <a:pPr>
                    <a:defRPr sz="1100" b="1">
                      <a:solidFill>
                        <a:schemeClr val="accent4"/>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2"/>
        <c:spPr>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2">
                <a:lumMod val="60000"/>
                <a:lumOff val="40000"/>
              </a:schemeClr>
            </a:solidFill>
            <a:round/>
          </a:ln>
          <a:effectLst/>
        </c:spPr>
        <c:marker>
          <c:symbol val="none"/>
        </c:marker>
        <c:dLbl>
          <c:idx val="0"/>
          <c:layout>
            <c:manualLayout>
              <c:x val="-0.10962817147856518"/>
              <c:y val="-0.1697026060718788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44"/>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2"/>
            </a:solidFill>
            <a:round/>
          </a:ln>
          <a:effectLst/>
        </c:spPr>
        <c:marker>
          <c:symbol val="none"/>
        </c:marker>
        <c:dLbl>
          <c:idx val="0"/>
          <c:layout>
            <c:manualLayout>
              <c:x val="-0.10875906640702174"/>
              <c:y val="-6.19946128781147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46"/>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3"/>
            </a:solidFill>
            <a:round/>
          </a:ln>
          <a:effectLst/>
        </c:spPr>
        <c:marker>
          <c:symbol val="none"/>
        </c:marker>
        <c:dLbl>
          <c:idx val="0"/>
          <c:layout>
            <c:manualLayout>
              <c:x val="-0.10915566965660113"/>
              <c:y val="-0.1365057046440623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3"/>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6.0230950256466451E-2"/>
                  <c:h val="5.9341957255343081E-2"/>
                </c:manualLayout>
              </c15:layout>
            </c:ext>
          </c:extLst>
        </c:dLbl>
      </c:pivotFmt>
      <c:pivotFmt>
        <c:idx val="4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rgbClr val="FF0000"/>
            </a:solidFill>
            <a:round/>
          </a:ln>
          <a:effectLst/>
        </c:spPr>
        <c:marker>
          <c:symbol val="none"/>
        </c:marker>
        <c:dLbl>
          <c:idx val="0"/>
          <c:layout>
            <c:manualLayout>
              <c:x val="-0.10867383512544802"/>
              <c:y val="-9.271222986890431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51"/>
        <c:spPr>
          <a:ln w="28575" cap="rnd">
            <a:solidFill>
              <a:sysClr val="windowText" lastClr="0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ysClr val="windowText" lastClr="000000"/>
            </a:solidFill>
            <a:round/>
          </a:ln>
          <a:effectLst/>
        </c:spPr>
        <c:marker>
          <c:symbol val="none"/>
        </c:marker>
        <c:dLbl>
          <c:idx val="0"/>
          <c:layout>
            <c:manualLayout>
              <c:x val="-0.12186221255146287"/>
              <c:y val="-1.9247683325298748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ysClr val="windowText" lastClr="00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7.6722656188851143E-2"/>
                  <c:h val="8.043762386844501E-2"/>
                </c:manualLayout>
              </c15:layout>
            </c:ext>
          </c:extLst>
        </c:dLbl>
      </c:pivotFmt>
      <c:pivotFmt>
        <c:idx val="53"/>
        <c:spPr>
          <a:ln w="28575" cap="rnd">
            <a:solidFill>
              <a:schemeClr val="accent5">
                <a:lumMod val="75000"/>
              </a:schemeClr>
            </a:solidFill>
            <a:round/>
          </a:ln>
          <a:effectLst/>
        </c:spPr>
        <c:marker>
          <c:symbol val="none"/>
        </c:marker>
        <c:dLbl>
          <c:idx val="0"/>
          <c:layout>
            <c:manualLayout>
              <c:x val="-0.10545916041931884"/>
              <c:y val="-7.8198675028291212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54"/>
        <c:spPr>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55"/>
        <c:spPr>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56"/>
        <c:spPr>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57"/>
        <c:spPr>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s>
    <c:plotArea>
      <c:layout>
        <c:manualLayout>
          <c:layoutTarget val="inner"/>
          <c:xMode val="edge"/>
          <c:yMode val="edge"/>
          <c:x val="0.16066081203070293"/>
          <c:y val="3.7414965986394558E-2"/>
          <c:w val="0.82078385331058257"/>
          <c:h val="0.88367936150838289"/>
        </c:manualLayout>
      </c:layout>
      <c:lineChart>
        <c:grouping val="standard"/>
        <c:varyColors val="0"/>
        <c:ser>
          <c:idx val="0"/>
          <c:order val="0"/>
          <c:tx>
            <c:strRef>
              <c:f>'CALCULATION-NGẮN'!$B$2</c:f>
              <c:strCache>
                <c:ptCount val="1"/>
                <c:pt idx="0">
                  <c:v>CT</c:v>
                </c:pt>
              </c:strCache>
            </c:strRef>
          </c:tx>
          <c:spPr>
            <a:ln w="28575" cap="rnd">
              <a:solidFill>
                <a:schemeClr val="accent4"/>
              </a:solidFill>
              <a:round/>
            </a:ln>
            <a:effectLst/>
          </c:spPr>
          <c:marker>
            <c:symbol val="none"/>
          </c:marker>
          <c:dPt>
            <c:idx val="0"/>
            <c:marker>
              <c:symbol val="none"/>
            </c:marker>
            <c:bubble3D val="0"/>
            <c:spPr>
              <a:ln w="28575" cap="rnd">
                <a:solidFill>
                  <a:schemeClr val="accent4"/>
                </a:solidFill>
                <a:round/>
              </a:ln>
              <a:effectLst/>
            </c:spPr>
            <c:extLst>
              <c:ext xmlns:c16="http://schemas.microsoft.com/office/drawing/2014/chart" uri="{C3380CC4-5D6E-409C-BE32-E72D297353CC}">
                <c16:uniqueId val="{00000000-5913-4F09-A5D2-116391454997}"/>
              </c:ext>
            </c:extLst>
          </c:dPt>
          <c:dLbls>
            <c:dLbl>
              <c:idx val="0"/>
              <c:layout>
                <c:manualLayout>
                  <c:x val="-0.11065711952169123"/>
                  <c:y val="-0.21597518492006682"/>
                </c:manualLayout>
              </c:layout>
              <c:tx>
                <c:rich>
                  <a:bodyPr/>
                  <a:lstStyle/>
                  <a:p>
                    <a:fld id="{982319D9-AB8E-474F-8BDE-44E68B02B71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913-4F09-A5D2-116391454997}"/>
                </c:ext>
              </c:extLst>
            </c:dLbl>
            <c:dLbl>
              <c:idx val="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5913-4F09-A5D2-116391454997}"/>
                </c:ext>
              </c:extLst>
            </c:dLbl>
            <c:dLbl>
              <c:idx val="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5913-4F09-A5D2-116391454997}"/>
                </c:ext>
              </c:extLst>
            </c:dLbl>
            <c:dLbl>
              <c:idx val="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A49D-4BD6-B40B-BBF19CAD4604}"/>
                </c:ext>
              </c:extLst>
            </c:dLbl>
            <c:dLbl>
              <c:idx val="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0169-4AAF-BD18-29C7637CF2FA}"/>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5"/>
                <c:pt idx="0">
                  <c:v>4</c:v>
                </c:pt>
                <c:pt idx="1">
                  <c:v>5</c:v>
                </c:pt>
                <c:pt idx="2">
                  <c:v>6</c:v>
                </c:pt>
                <c:pt idx="3">
                  <c:v>7</c:v>
                </c:pt>
                <c:pt idx="4">
                  <c:v>8</c:v>
                </c:pt>
              </c:strCache>
            </c:strRef>
          </c:cat>
          <c:val>
            <c:numRef>
              <c:f>'CALCULATION-NGẮN'!$B$2</c:f>
              <c:numCache>
                <c:formatCode>_(* #,##0_);_(* \(#,##0\);_(* "-"??_);_(@_)</c:formatCode>
                <c:ptCount val="5"/>
                <c:pt idx="0">
                  <c:v>544024000</c:v>
                </c:pt>
                <c:pt idx="1">
                  <c:v>499932000</c:v>
                </c:pt>
                <c:pt idx="2">
                  <c:v>323822400</c:v>
                </c:pt>
                <c:pt idx="3">
                  <c:v>109103000</c:v>
                </c:pt>
                <c:pt idx="4">
                  <c:v>128810000</c:v>
                </c:pt>
              </c:numCache>
            </c:numRef>
          </c:val>
          <c:smooth val="0"/>
          <c:extLst>
            <c:ext xmlns:c15="http://schemas.microsoft.com/office/drawing/2012/chart" uri="{02D57815-91ED-43cb-92C2-25804820EDAC}">
              <c15:datalabelsRange>
                <c15:f>'CALCULATION-NGẮN'!$B$2</c15:f>
                <c15:dlblRangeCache>
                  <c:ptCount val="1"/>
                  <c:pt idx="0">
                    <c:v> CT </c:v>
                  </c:pt>
                </c15:dlblRangeCache>
              </c15:datalabelsRange>
            </c:ext>
            <c:ext xmlns:c16="http://schemas.microsoft.com/office/drawing/2014/chart" uri="{C3380CC4-5D6E-409C-BE32-E72D297353CC}">
              <c16:uniqueId val="{00000003-5913-4F09-A5D2-116391454997}"/>
            </c:ext>
          </c:extLst>
        </c:ser>
        <c:ser>
          <c:idx val="1"/>
          <c:order val="1"/>
          <c:tx>
            <c:strRef>
              <c:f>'CALCULATION-NGẮN'!$B$2</c:f>
              <c:strCache>
                <c:ptCount val="1"/>
                <c:pt idx="0">
                  <c:v>DN</c:v>
                </c:pt>
              </c:strCache>
            </c:strRef>
          </c:tx>
          <c:spPr>
            <a:ln w="28575" cap="rnd">
              <a:solidFill>
                <a:schemeClr val="accent2">
                  <a:lumMod val="60000"/>
                  <a:lumOff val="40000"/>
                </a:schemeClr>
              </a:solidFill>
              <a:round/>
            </a:ln>
            <a:effectLst/>
          </c:spPr>
          <c:marker>
            <c:symbol val="none"/>
          </c:marker>
          <c:dPt>
            <c:idx val="0"/>
            <c:marker>
              <c:symbol val="none"/>
            </c:marker>
            <c:bubble3D val="0"/>
            <c:spPr>
              <a:ln w="28575" cap="rnd">
                <a:solidFill>
                  <a:schemeClr val="accent2">
                    <a:lumMod val="60000"/>
                    <a:lumOff val="40000"/>
                  </a:schemeClr>
                </a:solidFill>
                <a:round/>
              </a:ln>
              <a:effectLst/>
            </c:spPr>
          </c:dPt>
          <c:dLbls>
            <c:dLbl>
              <c:idx val="0"/>
              <c:layout>
                <c:manualLayout>
                  <c:x val="-0.10962817147856518"/>
                  <c:y val="-0.16970260607187881"/>
                </c:manualLayout>
              </c:layout>
              <c:dLblPos val="r"/>
              <c:showLegendKey val="0"/>
              <c:showVal val="0"/>
              <c:showCatName val="0"/>
              <c:showSerName val="1"/>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5"/>
                <c:pt idx="0">
                  <c:v>4</c:v>
                </c:pt>
                <c:pt idx="1">
                  <c:v>5</c:v>
                </c:pt>
                <c:pt idx="2">
                  <c:v>6</c:v>
                </c:pt>
                <c:pt idx="3">
                  <c:v>7</c:v>
                </c:pt>
                <c:pt idx="4">
                  <c:v>8</c:v>
                </c:pt>
              </c:strCache>
            </c:strRef>
          </c:cat>
          <c:val>
            <c:numRef>
              <c:f>'CALCULATION-NGẮN'!$B$2</c:f>
              <c:numCache>
                <c:formatCode>_(* #,##0_);_(* \(#,##0\);_(* "-"??_);_(@_)</c:formatCode>
                <c:ptCount val="5"/>
                <c:pt idx="0">
                  <c:v>390317681.00000024</c:v>
                </c:pt>
                <c:pt idx="1">
                  <c:v>528955635.00000006</c:v>
                </c:pt>
                <c:pt idx="2">
                  <c:v>596808686.00000012</c:v>
                </c:pt>
                <c:pt idx="3">
                  <c:v>189044926.00000012</c:v>
                </c:pt>
                <c:pt idx="4">
                  <c:v>244911534.00000003</c:v>
                </c:pt>
              </c:numCache>
            </c:numRef>
          </c:val>
          <c:smooth val="0"/>
          <c:extLst>
            <c:ext xmlns:c16="http://schemas.microsoft.com/office/drawing/2014/chart" uri="{C3380CC4-5D6E-409C-BE32-E72D297353CC}">
              <c16:uniqueId val="{00000016-0169-4AAF-BD18-29C7637CF2FA}"/>
            </c:ext>
          </c:extLst>
        </c:ser>
        <c:ser>
          <c:idx val="2"/>
          <c:order val="2"/>
          <c:tx>
            <c:strRef>
              <c:f>'CALCULATION-NGẮN'!$B$2</c:f>
              <c:strCache>
                <c:ptCount val="1"/>
                <c:pt idx="0">
                  <c:v>HCM</c:v>
                </c:pt>
              </c:strCache>
            </c:strRef>
          </c:tx>
          <c:spPr>
            <a:ln w="28575" cap="rnd">
              <a:solidFill>
                <a:schemeClr val="accent2"/>
              </a:solidFill>
              <a:round/>
            </a:ln>
            <a:effectLst/>
          </c:spPr>
          <c:marker>
            <c:symbol val="none"/>
          </c:marker>
          <c:dPt>
            <c:idx val="0"/>
            <c:marker>
              <c:symbol val="none"/>
            </c:marker>
            <c:bubble3D val="0"/>
            <c:spPr>
              <a:ln w="28575" cap="rnd">
                <a:solidFill>
                  <a:schemeClr val="accent2"/>
                </a:solidFill>
                <a:round/>
              </a:ln>
              <a:effectLst/>
            </c:spPr>
          </c:dPt>
          <c:dLbls>
            <c:dLbl>
              <c:idx val="0"/>
              <c:layout>
                <c:manualLayout>
                  <c:x val="-0.10875906640702174"/>
                  <c:y val="-6.19946128781147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5"/>
                <c:pt idx="0">
                  <c:v>4</c:v>
                </c:pt>
                <c:pt idx="1">
                  <c:v>5</c:v>
                </c:pt>
                <c:pt idx="2">
                  <c:v>6</c:v>
                </c:pt>
                <c:pt idx="3">
                  <c:v>7</c:v>
                </c:pt>
                <c:pt idx="4">
                  <c:v>8</c:v>
                </c:pt>
              </c:strCache>
            </c:strRef>
          </c:cat>
          <c:val>
            <c:numRef>
              <c:f>'CALCULATION-NGẮN'!$B$2</c:f>
              <c:numCache>
                <c:formatCode>_(* #,##0_);_(* \(#,##0\);_(* "-"??_);_(@_)</c:formatCode>
                <c:ptCount val="5"/>
                <c:pt idx="0">
                  <c:v>1514977568.6188099</c:v>
                </c:pt>
                <c:pt idx="1">
                  <c:v>1649400745.9977701</c:v>
                </c:pt>
                <c:pt idx="2">
                  <c:v>1295282108.81213</c:v>
                </c:pt>
                <c:pt idx="3">
                  <c:v>770108001.79610002</c:v>
                </c:pt>
                <c:pt idx="4">
                  <c:v>866370929</c:v>
                </c:pt>
              </c:numCache>
            </c:numRef>
          </c:val>
          <c:smooth val="0"/>
          <c:extLst>
            <c:ext xmlns:c16="http://schemas.microsoft.com/office/drawing/2014/chart" uri="{C3380CC4-5D6E-409C-BE32-E72D297353CC}">
              <c16:uniqueId val="{00000017-0169-4AAF-BD18-29C7637CF2FA}"/>
            </c:ext>
          </c:extLst>
        </c:ser>
        <c:ser>
          <c:idx val="3"/>
          <c:order val="3"/>
          <c:tx>
            <c:strRef>
              <c:f>'CALCULATION-NGẮN'!$B$2</c:f>
              <c:strCache>
                <c:ptCount val="1"/>
                <c:pt idx="0">
                  <c:v>HN</c:v>
                </c:pt>
              </c:strCache>
            </c:strRef>
          </c:tx>
          <c:spPr>
            <a:ln w="28575" cap="rnd">
              <a:solidFill>
                <a:schemeClr val="accent5">
                  <a:lumMod val="75000"/>
                </a:schemeClr>
              </a:solidFill>
              <a:round/>
            </a:ln>
            <a:effectLst/>
          </c:spPr>
          <c:marker>
            <c:symbol val="none"/>
          </c:marker>
          <c:dPt>
            <c:idx val="0"/>
            <c:marker>
              <c:symbol val="none"/>
            </c:marker>
            <c:bubble3D val="0"/>
            <c:spPr>
              <a:ln w="28575" cap="rnd">
                <a:solidFill>
                  <a:schemeClr val="accent5">
                    <a:lumMod val="75000"/>
                  </a:schemeClr>
                </a:solidFill>
                <a:round/>
              </a:ln>
              <a:effectLst/>
            </c:spPr>
          </c:dPt>
          <c:dLbls>
            <c:dLbl>
              <c:idx val="0"/>
              <c:layout>
                <c:manualLayout>
                  <c:x val="-0.10545916041931884"/>
                  <c:y val="-7.8198675028291212E-2"/>
                </c:manualLayout>
              </c:layout>
              <c:dLblPos val="r"/>
              <c:showLegendKey val="0"/>
              <c:showVal val="0"/>
              <c:showCatName val="0"/>
              <c:showSerName val="1"/>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5"/>
                <c:pt idx="0">
                  <c:v>4</c:v>
                </c:pt>
                <c:pt idx="1">
                  <c:v>5</c:v>
                </c:pt>
                <c:pt idx="2">
                  <c:v>6</c:v>
                </c:pt>
                <c:pt idx="3">
                  <c:v>7</c:v>
                </c:pt>
                <c:pt idx="4">
                  <c:v>8</c:v>
                </c:pt>
              </c:strCache>
            </c:strRef>
          </c:cat>
          <c:val>
            <c:numRef>
              <c:f>'CALCULATION-NGẮN'!$B$2</c:f>
              <c:numCache>
                <c:formatCode>_(* #,##0_);_(* \(#,##0\);_(* "-"??_);_(@_)</c:formatCode>
                <c:ptCount val="5"/>
                <c:pt idx="0">
                  <c:v>1890488452.447052</c:v>
                </c:pt>
                <c:pt idx="1">
                  <c:v>2496916451.6074924</c:v>
                </c:pt>
                <c:pt idx="2">
                  <c:v>1328608050.880312</c:v>
                </c:pt>
                <c:pt idx="3">
                  <c:v>1009026424</c:v>
                </c:pt>
                <c:pt idx="4">
                  <c:v>1099292585.263608</c:v>
                </c:pt>
              </c:numCache>
            </c:numRef>
          </c:val>
          <c:smooth val="0"/>
          <c:extLst>
            <c:ext xmlns:c16="http://schemas.microsoft.com/office/drawing/2014/chart" uri="{C3380CC4-5D6E-409C-BE32-E72D297353CC}">
              <c16:uniqueId val="{00000018-0169-4AAF-BD18-29C7637CF2FA}"/>
            </c:ext>
          </c:extLst>
        </c:ser>
        <c:ser>
          <c:idx val="4"/>
          <c:order val="4"/>
          <c:tx>
            <c:strRef>
              <c:f>'CALCULATION-NGẮN'!$B$2</c:f>
              <c:strCache>
                <c:ptCount val="1"/>
                <c:pt idx="0">
                  <c:v>HP</c:v>
                </c:pt>
              </c:strCache>
            </c:strRef>
          </c:tx>
          <c:spPr>
            <a:ln w="28575" cap="rnd">
              <a:solidFill>
                <a:schemeClr val="accent3"/>
              </a:solidFill>
              <a:round/>
            </a:ln>
            <a:effectLst/>
          </c:spPr>
          <c:marker>
            <c:symbol val="none"/>
          </c:marker>
          <c:dPt>
            <c:idx val="0"/>
            <c:marker>
              <c:symbol val="none"/>
            </c:marker>
            <c:bubble3D val="0"/>
            <c:spPr>
              <a:ln w="28575" cap="rnd">
                <a:solidFill>
                  <a:schemeClr val="accent3"/>
                </a:solidFill>
                <a:round/>
              </a:ln>
              <a:effectLst/>
            </c:spPr>
          </c:dPt>
          <c:dLbls>
            <c:dLbl>
              <c:idx val="0"/>
              <c:layout>
                <c:manualLayout>
                  <c:x val="-0.10915566965660113"/>
                  <c:y val="-0.1365057046440623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3"/>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6.0230950256466451E-2"/>
                      <c:h val="5.9341957255343081E-2"/>
                    </c:manualLayout>
                  </c15:layout>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5"/>
                <c:pt idx="0">
                  <c:v>4</c:v>
                </c:pt>
                <c:pt idx="1">
                  <c:v>5</c:v>
                </c:pt>
                <c:pt idx="2">
                  <c:v>6</c:v>
                </c:pt>
                <c:pt idx="3">
                  <c:v>7</c:v>
                </c:pt>
                <c:pt idx="4">
                  <c:v>8</c:v>
                </c:pt>
              </c:strCache>
            </c:strRef>
          </c:cat>
          <c:val>
            <c:numRef>
              <c:f>'CALCULATION-NGẮN'!$B$2</c:f>
              <c:numCache>
                <c:formatCode>_(* #,##0_);_(* \(#,##0\);_(* "-"??_);_(@_)</c:formatCode>
                <c:ptCount val="5"/>
                <c:pt idx="0">
                  <c:v>226182181.81818175</c:v>
                </c:pt>
                <c:pt idx="1">
                  <c:v>226182181.81818175</c:v>
                </c:pt>
                <c:pt idx="2">
                  <c:v>234684789.88888872</c:v>
                </c:pt>
                <c:pt idx="3">
                  <c:v>165536370</c:v>
                </c:pt>
                <c:pt idx="4">
                  <c:v>185593000</c:v>
                </c:pt>
              </c:numCache>
            </c:numRef>
          </c:val>
          <c:smooth val="0"/>
          <c:extLst>
            <c:ext xmlns:c16="http://schemas.microsoft.com/office/drawing/2014/chart" uri="{C3380CC4-5D6E-409C-BE32-E72D297353CC}">
              <c16:uniqueId val="{00000019-0169-4AAF-BD18-29C7637CF2FA}"/>
            </c:ext>
          </c:extLst>
        </c:ser>
        <c:ser>
          <c:idx val="5"/>
          <c:order val="5"/>
          <c:tx>
            <c:strRef>
              <c:f>'CALCULATION-NGẮN'!$B$2</c:f>
              <c:strCache>
                <c:ptCount val="1"/>
                <c:pt idx="0">
                  <c:v>KH</c:v>
                </c:pt>
              </c:strCache>
            </c:strRef>
          </c:tx>
          <c:spPr>
            <a:ln w="28575" cap="rnd">
              <a:solidFill>
                <a:srgbClr val="FF0000"/>
              </a:solidFill>
              <a:round/>
            </a:ln>
            <a:effectLst/>
          </c:spPr>
          <c:marker>
            <c:symbol val="none"/>
          </c:marker>
          <c:dPt>
            <c:idx val="0"/>
            <c:marker>
              <c:symbol val="none"/>
            </c:marker>
            <c:bubble3D val="0"/>
            <c:spPr>
              <a:ln w="28575" cap="rnd">
                <a:solidFill>
                  <a:srgbClr val="FF0000"/>
                </a:solidFill>
                <a:round/>
              </a:ln>
              <a:effectLst/>
            </c:spPr>
          </c:dPt>
          <c:dLbls>
            <c:dLbl>
              <c:idx val="0"/>
              <c:layout>
                <c:manualLayout>
                  <c:x val="-0.10867383512544802"/>
                  <c:y val="-9.2712229868904317E-2"/>
                </c:manualLayout>
              </c:layout>
              <c:dLblPos val="r"/>
              <c:showLegendKey val="0"/>
              <c:showVal val="0"/>
              <c:showCatName val="0"/>
              <c:showSerName val="1"/>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5"/>
                <c:pt idx="0">
                  <c:v>4</c:v>
                </c:pt>
                <c:pt idx="1">
                  <c:v>5</c:v>
                </c:pt>
                <c:pt idx="2">
                  <c:v>6</c:v>
                </c:pt>
                <c:pt idx="3">
                  <c:v>7</c:v>
                </c:pt>
                <c:pt idx="4">
                  <c:v>8</c:v>
                </c:pt>
              </c:strCache>
            </c:strRef>
          </c:cat>
          <c:val>
            <c:numRef>
              <c:f>'CALCULATION-NGẮN'!$B$2</c:f>
              <c:numCache>
                <c:formatCode>_(* #,##0_);_(* \(#,##0\);_(* "-"??_);_(@_)</c:formatCode>
                <c:ptCount val="5"/>
                <c:pt idx="0">
                  <c:v>117463100</c:v>
                </c:pt>
                <c:pt idx="1">
                  <c:v>152109145</c:v>
                </c:pt>
                <c:pt idx="2">
                  <c:v>114681310</c:v>
                </c:pt>
                <c:pt idx="3">
                  <c:v>70293800</c:v>
                </c:pt>
                <c:pt idx="4">
                  <c:v>79606575</c:v>
                </c:pt>
              </c:numCache>
            </c:numRef>
          </c:val>
          <c:smooth val="0"/>
          <c:extLst>
            <c:ext xmlns:c16="http://schemas.microsoft.com/office/drawing/2014/chart" uri="{C3380CC4-5D6E-409C-BE32-E72D297353CC}">
              <c16:uniqueId val="{0000001A-0169-4AAF-BD18-29C7637CF2FA}"/>
            </c:ext>
          </c:extLst>
        </c:ser>
        <c:ser>
          <c:idx val="6"/>
          <c:order val="6"/>
          <c:tx>
            <c:strRef>
              <c:f>'CALCULATION-NGẮN'!$B$2</c:f>
              <c:strCache>
                <c:ptCount val="1"/>
                <c:pt idx="0">
                  <c:v>NA</c:v>
                </c:pt>
              </c:strCache>
            </c:strRef>
          </c:tx>
          <c:spPr>
            <a:ln w="28575" cap="rnd">
              <a:solidFill>
                <a:sysClr val="windowText" lastClr="000000"/>
              </a:solidFill>
              <a:round/>
            </a:ln>
            <a:effectLst/>
          </c:spPr>
          <c:marker>
            <c:symbol val="none"/>
          </c:marker>
          <c:dPt>
            <c:idx val="0"/>
            <c:marker>
              <c:symbol val="none"/>
            </c:marker>
            <c:bubble3D val="0"/>
            <c:spPr>
              <a:ln w="28575" cap="rnd">
                <a:solidFill>
                  <a:sysClr val="windowText" lastClr="000000"/>
                </a:solidFill>
                <a:round/>
              </a:ln>
              <a:effectLst/>
            </c:spPr>
          </c:dPt>
          <c:dLbls>
            <c:dLbl>
              <c:idx val="0"/>
              <c:layout>
                <c:manualLayout>
                  <c:x val="-0.12186221255146287"/>
                  <c:y val="-1.9247683325298748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ysClr val="windowText" lastClr="000000"/>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15:layout>
                    <c:manualLayout>
                      <c:w val="7.6722656188851143E-2"/>
                      <c:h val="8.043762386844501E-2"/>
                    </c:manualLayout>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'CALCULATION-NGẮN'!$B$2</c:f>
              <c:strCache>
                <c:ptCount val="5"/>
                <c:pt idx="0">
                  <c:v>4</c:v>
                </c:pt>
                <c:pt idx="1">
                  <c:v>5</c:v>
                </c:pt>
                <c:pt idx="2">
                  <c:v>6</c:v>
                </c:pt>
                <c:pt idx="3">
                  <c:v>7</c:v>
                </c:pt>
                <c:pt idx="4">
                  <c:v>8</c:v>
                </c:pt>
              </c:strCache>
            </c:strRef>
          </c:cat>
          <c:val>
            <c:numRef>
              <c:f>'CALCULATION-NGẮN'!$B$2</c:f>
              <c:numCache>
                <c:formatCode>_(* #,##0_);_(* \(#,##0\);_(* "-"??_);_(@_)</c:formatCode>
                <c:ptCount val="5"/>
                <c:pt idx="0">
                  <c:v>61396000</c:v>
                </c:pt>
                <c:pt idx="1">
                  <c:v>135512999.99999994</c:v>
                </c:pt>
                <c:pt idx="2">
                  <c:v>75202000</c:v>
                </c:pt>
                <c:pt idx="3">
                  <c:v>70203000</c:v>
                </c:pt>
                <c:pt idx="4">
                  <c:v>33775000</c:v>
                </c:pt>
              </c:numCache>
            </c:numRef>
          </c:val>
          <c:smooth val="0"/>
          <c:extLst>
            <c:ext xmlns:c16="http://schemas.microsoft.com/office/drawing/2014/chart" uri="{C3380CC4-5D6E-409C-BE32-E72D297353CC}">
              <c16:uniqueId val="{0000001B-0169-4AAF-BD18-29C7637CF2FA}"/>
            </c:ext>
          </c:extLst>
        </c:ser>
        <c:dLbls>
          <c:showLegendKey val="0"/>
          <c:showVal val="0"/>
          <c:showCatName val="0"/>
          <c:showSerName val="0"/>
          <c:showPercent val="0"/>
          <c:showBubbleSize val="0"/>
        </c:dLbls>
        <c:smooth val="0"/>
        <c:axId val="1809746495"/>
        <c:axId val="1896173855"/>
      </c:lineChart>
      <c:catAx>
        <c:axId val="1809746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896173855"/>
        <c:crosses val="autoZero"/>
        <c:auto val="1"/>
        <c:lblAlgn val="ctr"/>
        <c:lblOffset val="100"/>
        <c:noMultiLvlLbl val="0"/>
      </c:catAx>
      <c:valAx>
        <c:axId val="1896173855"/>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809746495"/>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[Dashboard - DAV Transportation Cost.xlsm]CALCULATION-NGẮN!KPI</c:name>
    <c:fmtId val="6"/>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r>
              <a:rPr lang="en-US" sz="1800" b="0">
                <a:solidFill>
                  <a:schemeClr val="accent1">
                    <a:lumMod val="75000"/>
                  </a:schemeClr>
                </a:solidFill>
                <a:latin typeface="UTM Bebas" panose="02040603050506020204" pitchFamily="18" charset="0"/>
              </a:rPr>
              <a:t>KPI</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endParaRPr 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lumMod val="75000"/>
              </a:schemeClr>
            </a:solidFill>
            <a:prstDash val="sysDash"/>
            <a:round/>
            <a:extLst>
              <a:ext uri="{C807C97D-BFC1-408E-A445-0C87EB9F89A2}">
                <ask:lineSketchStyleProps xmlns:ask="http://schemas.microsoft.com/office/drawing/2018/sketchyshapes">
                  <ask:type>
                    <ask:lineSketchNone/>
                  </ask:type>
                </ask:lineSketchStyleProps>
              </a:ext>
            </a:extLs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4">
                <a:lumMod val="60000"/>
                <a:lumOff val="40000"/>
              </a:schemeClr>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lumMod val="75000"/>
              </a:schemeClr>
            </a:solidFill>
            <a:prstDash val="sysDash"/>
            <a:round/>
            <a:extLst>
              <a:ext uri="{C807C97D-BFC1-408E-A445-0C87EB9F89A2}">
                <ask:lineSketchStyleProps xmlns:ask="http://schemas.microsoft.com/office/drawing/2018/sketchyshapes">
                  <ask:type>
                    <ask:lineSketchNone/>
                  </ask:type>
                </ask:lineSketchStyleProps>
              </a:ext>
            </a:extLs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4">
                <a:lumMod val="60000"/>
                <a:lumOff val="40000"/>
              </a:schemeClr>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2"/>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60000"/>
              <a:lumOff val="40000"/>
            </a:schemeClr>
          </a:solidFill>
          <a:ln>
            <a:solidFill>
              <a:srgbClr val="002060"/>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00B050"/>
            </a:solidFill>
            <a:prstDash val="sysDash"/>
            <a:round/>
            <a:extLst>
              <a:ext uri="{C807C97D-BFC1-408E-A445-0C87EB9F89A2}">
                <ask:lineSketchStyleProps xmlns:ask="http://schemas.microsoft.com/office/drawing/2018/sketchyshapes">
                  <ask:type>
                    <ask:lineSketchNone/>
                  </ask:type>
                </ask:lineSketchStyleProps>
              </a:ext>
            </a:extLs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4">
                <a:lumMod val="60000"/>
                <a:lumOff val="40000"/>
              </a:schemeClr>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B0F0"/>
          </a:solidFill>
          <a:ln>
            <a:solidFill>
              <a:srgbClr val="002060"/>
            </a:solidFill>
          </a:ln>
          <a:effectLst/>
        </c:spPr>
      </c:pivotFmt>
      <c:pivotFmt>
        <c:idx val="13"/>
        <c:spPr>
          <a:solidFill>
            <a:schemeClr val="accent2">
              <a:lumMod val="75000"/>
            </a:schemeClr>
          </a:solidFill>
          <a:ln>
            <a:solidFill>
              <a:srgbClr val="002060"/>
            </a:solidFill>
          </a:ln>
          <a:effectLst/>
        </c:spPr>
      </c:pivotFmt>
      <c:pivotFmt>
        <c:idx val="14"/>
        <c:spPr>
          <a:solidFill>
            <a:srgbClr val="FFC000"/>
          </a:solidFill>
          <a:ln>
            <a:solidFill>
              <a:srgbClr val="002060"/>
            </a:solidFill>
          </a:ln>
          <a:effectLst/>
        </c:spPr>
      </c:pivotFmt>
      <c:pivotFmt>
        <c:idx val="15"/>
        <c:spPr>
          <a:solidFill>
            <a:srgbClr val="92D050"/>
          </a:solidFill>
          <a:ln>
            <a:solidFill>
              <a:srgbClr val="002060"/>
            </a:solidFill>
          </a:ln>
          <a:effectLst/>
        </c:spPr>
      </c:pivotFmt>
      <c:pivotFmt>
        <c:idx val="16"/>
        <c:spPr>
          <a:solidFill>
            <a:schemeClr val="accent2">
              <a:lumMod val="60000"/>
              <a:lumOff val="40000"/>
            </a:schemeClr>
          </a:solidFill>
          <a:ln>
            <a:solidFill>
              <a:srgbClr val="002060"/>
            </a:solidFill>
          </a:ln>
          <a:effectLst/>
        </c:spPr>
        <c:dLbl>
          <c:idx val="0"/>
          <c:layout>
            <c:manualLayout>
              <c:x val="0"/>
              <c:y val="-3.707381081920352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75000"/>
            </a:schemeClr>
          </a:solidFill>
          <a:ln>
            <a:solidFill>
              <a:srgbClr val="002060"/>
            </a:solidFill>
          </a:ln>
          <a:effectLst/>
        </c:spPr>
      </c:pivotFmt>
      <c:pivotFmt>
        <c:idx val="18"/>
        <c:spPr>
          <a:solidFill>
            <a:schemeClr val="accent4">
              <a:lumMod val="40000"/>
              <a:lumOff val="60000"/>
            </a:schemeClr>
          </a:solidFill>
          <a:ln>
            <a:solidFill>
              <a:srgbClr val="002060"/>
            </a:solidFill>
          </a:ln>
          <a:effectLst/>
        </c:spPr>
      </c:pivotFmt>
      <c:pivotFmt>
        <c:idx val="19"/>
        <c:spPr>
          <a:solidFill>
            <a:schemeClr val="bg2">
              <a:lumMod val="50000"/>
            </a:schemeClr>
          </a:solidFill>
          <a:ln>
            <a:solidFill>
              <a:srgbClr val="002060"/>
            </a:solidFill>
          </a:ln>
          <a:effectLst/>
        </c:spPr>
      </c:pivotFmt>
      <c:pivotFmt>
        <c:idx val="20"/>
        <c:spPr>
          <a:solidFill>
            <a:srgbClr val="C00000"/>
          </a:solidFill>
          <a:ln>
            <a:solidFill>
              <a:srgbClr val="002060"/>
            </a:solidFill>
          </a:ln>
          <a:effectLst/>
        </c:spPr>
      </c:pivotFmt>
      <c:pivotFmt>
        <c:idx val="21"/>
        <c:spPr>
          <a:solidFill>
            <a:schemeClr val="accent5">
              <a:lumMod val="75000"/>
            </a:schemeClr>
          </a:solidFill>
          <a:ln>
            <a:solidFill>
              <a:srgbClr val="002060"/>
            </a:solidFill>
          </a:ln>
          <a:effectLst/>
        </c:spPr>
      </c:pivotFmt>
      <c:pivotFmt>
        <c:idx val="22"/>
        <c:spPr>
          <a:solidFill>
            <a:schemeClr val="accent6">
              <a:lumMod val="75000"/>
            </a:schemeClr>
          </a:solidFill>
          <a:ln>
            <a:solidFill>
              <a:srgbClr val="002060"/>
            </a:solidFill>
          </a:ln>
          <a:effectLst/>
        </c:spPr>
      </c:pivotFmt>
      <c:pivotFmt>
        <c:idx val="23"/>
        <c:spPr>
          <a:solidFill>
            <a:schemeClr val="accent1">
              <a:lumMod val="75000"/>
            </a:schemeClr>
          </a:solidFill>
          <a:ln>
            <a:solidFill>
              <a:srgbClr val="002060"/>
            </a:solidFill>
          </a:ln>
          <a:effectLst/>
        </c:spPr>
      </c:pivotFmt>
    </c:pivotFmts>
    <c:plotArea>
      <c:layout/>
      <c:barChart>
        <c:barDir val="col"/>
        <c:grouping val="clustered"/>
        <c:varyColors val="0"/>
        <c:ser>
          <c:idx val="0"/>
          <c:order val="0"/>
          <c:tx>
            <c:strRef>
              <c:f>'CALCULATION-NGẮN'!$B$70</c:f>
              <c:strCache>
                <c:ptCount val="1"/>
                <c:pt idx="0">
                  <c:v>Average of KPI- ngắn</c:v>
                </c:pt>
              </c:strCache>
            </c:strRef>
          </c:tx>
          <c:spPr>
            <a:solidFill>
              <a:schemeClr val="accent1">
                <a:lumMod val="60000"/>
                <a:lumOff val="40000"/>
              </a:schemeClr>
            </a:solidFill>
            <a:ln>
              <a:solidFill>
                <a:srgbClr val="002060"/>
              </a:solidFill>
            </a:ln>
            <a:effectLst/>
          </c:spPr>
          <c:invertIfNegative val="0"/>
          <c:dPt>
            <c:idx val="0"/>
            <c:invertIfNegative val="0"/>
            <c:bubble3D val="0"/>
            <c:spPr>
              <a:solidFill>
                <a:schemeClr val="accent2">
                  <a:lumMod val="60000"/>
                  <a:lumOff val="40000"/>
                </a:schemeClr>
              </a:solidFill>
              <a:ln>
                <a:solidFill>
                  <a:srgbClr val="002060"/>
                </a:solidFill>
              </a:ln>
              <a:effectLst/>
            </c:spPr>
            <c:extLst>
              <c:ext xmlns:c16="http://schemas.microsoft.com/office/drawing/2014/chart" uri="{C3380CC4-5D6E-409C-BE32-E72D297353CC}">
                <c16:uniqueId val="{00000000-9F82-4357-BA0A-01D08D811CBB}"/>
              </c:ext>
            </c:extLst>
          </c:dPt>
          <c:dPt>
            <c:idx val="2"/>
            <c:invertIfNegative val="0"/>
            <c:bubble3D val="0"/>
            <c:spPr>
              <a:solidFill>
                <a:schemeClr val="accent1">
                  <a:lumMod val="75000"/>
                </a:schemeClr>
              </a:solidFill>
              <a:ln>
                <a:solidFill>
                  <a:srgbClr val="002060"/>
                </a:solidFill>
              </a:ln>
              <a:effectLst/>
            </c:spPr>
            <c:extLst>
              <c:ext xmlns:c16="http://schemas.microsoft.com/office/drawing/2014/chart" uri="{C3380CC4-5D6E-409C-BE32-E72D297353CC}">
                <c16:uniqueId val="{00000002-9F82-4357-BA0A-01D08D811CBB}"/>
              </c:ext>
            </c:extLst>
          </c:dPt>
          <c:dPt>
            <c:idx val="3"/>
            <c:invertIfNegative val="0"/>
            <c:bubble3D val="0"/>
            <c:spPr>
              <a:solidFill>
                <a:schemeClr val="accent4">
                  <a:lumMod val="40000"/>
                  <a:lumOff val="60000"/>
                </a:schemeClr>
              </a:solidFill>
              <a:ln>
                <a:solidFill>
                  <a:srgbClr val="002060"/>
                </a:solidFill>
              </a:ln>
              <a:effectLst/>
            </c:spPr>
            <c:extLst>
              <c:ext xmlns:c16="http://schemas.microsoft.com/office/drawing/2014/chart" uri="{C3380CC4-5D6E-409C-BE32-E72D297353CC}">
                <c16:uniqueId val="{00000004-9F82-4357-BA0A-01D08D811CBB}"/>
              </c:ext>
            </c:extLst>
          </c:dPt>
          <c:dPt>
            <c:idx val="5"/>
            <c:invertIfNegative val="0"/>
            <c:bubble3D val="0"/>
            <c:spPr>
              <a:solidFill>
                <a:srgbClr val="00B0F0"/>
              </a:solidFill>
              <a:ln>
                <a:solidFill>
                  <a:srgbClr val="002060"/>
                </a:solidFill>
              </a:ln>
              <a:effectLst/>
            </c:spPr>
            <c:extLst>
              <c:ext xmlns:c16="http://schemas.microsoft.com/office/drawing/2014/chart" uri="{C3380CC4-5D6E-409C-BE32-E72D297353CC}">
                <c16:uniqueId val="{00000007-B523-4BF2-A288-31AD7150CE1B}"/>
              </c:ext>
            </c:extLst>
          </c:dPt>
          <c:dPt>
            <c:idx val="7"/>
            <c:invertIfNegative val="0"/>
            <c:bubble3D val="0"/>
            <c:spPr>
              <a:solidFill>
                <a:schemeClr val="bg2">
                  <a:lumMod val="50000"/>
                </a:schemeClr>
              </a:solidFill>
              <a:ln>
                <a:solidFill>
                  <a:srgbClr val="002060"/>
                </a:solidFill>
              </a:ln>
              <a:effectLst/>
            </c:spPr>
            <c:extLst>
              <c:ext xmlns:c16="http://schemas.microsoft.com/office/drawing/2014/chart" uri="{C3380CC4-5D6E-409C-BE32-E72D297353CC}">
                <c16:uniqueId val="{00000005-9F82-4357-BA0A-01D08D811CBB}"/>
              </c:ext>
            </c:extLst>
          </c:dPt>
          <c:dPt>
            <c:idx val="9"/>
            <c:invertIfNegative val="0"/>
            <c:bubble3D val="0"/>
            <c:spPr>
              <a:solidFill>
                <a:srgbClr val="C00000"/>
              </a:solidFill>
              <a:ln>
                <a:solidFill>
                  <a:srgbClr val="002060"/>
                </a:solidFill>
              </a:ln>
              <a:effectLst/>
            </c:spPr>
            <c:extLst>
              <c:ext xmlns:c16="http://schemas.microsoft.com/office/drawing/2014/chart" uri="{C3380CC4-5D6E-409C-BE32-E72D297353CC}">
                <c16:uniqueId val="{00000006-9F82-4357-BA0A-01D08D811CBB}"/>
              </c:ext>
            </c:extLst>
          </c:dPt>
          <c:dPt>
            <c:idx val="10"/>
            <c:invertIfNegative val="0"/>
            <c:bubble3D val="0"/>
            <c:spPr>
              <a:solidFill>
                <a:schemeClr val="accent5">
                  <a:lumMod val="75000"/>
                </a:schemeClr>
              </a:solidFill>
              <a:ln>
                <a:solidFill>
                  <a:srgbClr val="002060"/>
                </a:solidFill>
              </a:ln>
              <a:effectLst/>
            </c:spPr>
            <c:extLst>
              <c:ext xmlns:c16="http://schemas.microsoft.com/office/drawing/2014/chart" uri="{C3380CC4-5D6E-409C-BE32-E72D297353CC}">
                <c16:uniqueId val="{00000007-9F82-4357-BA0A-01D08D811CBB}"/>
              </c:ext>
            </c:extLst>
          </c:dPt>
          <c:dPt>
            <c:idx val="11"/>
            <c:invertIfNegative val="0"/>
            <c:bubble3D val="0"/>
            <c:spPr>
              <a:solidFill>
                <a:schemeClr val="accent6">
                  <a:lumMod val="75000"/>
                </a:schemeClr>
              </a:solidFill>
              <a:ln>
                <a:solidFill>
                  <a:srgbClr val="002060"/>
                </a:solidFill>
              </a:ln>
              <a:effectLst/>
            </c:spPr>
            <c:extLst>
              <c:ext xmlns:c16="http://schemas.microsoft.com/office/drawing/2014/chart" uri="{C3380CC4-5D6E-409C-BE32-E72D297353CC}">
                <c16:uniqueId val="{00000008-9F82-4357-BA0A-01D08D811CBB}"/>
              </c:ext>
            </c:extLst>
          </c:dPt>
          <c:dPt>
            <c:idx val="12"/>
            <c:invertIfNegative val="0"/>
            <c:bubble3D val="0"/>
            <c:spPr>
              <a:solidFill>
                <a:schemeClr val="accent2">
                  <a:lumMod val="75000"/>
                </a:schemeClr>
              </a:solidFill>
              <a:ln>
                <a:solidFill>
                  <a:srgbClr val="002060"/>
                </a:solidFill>
              </a:ln>
              <a:effectLst/>
            </c:spPr>
            <c:extLst>
              <c:ext xmlns:c16="http://schemas.microsoft.com/office/drawing/2014/chart" uri="{C3380CC4-5D6E-409C-BE32-E72D297353CC}">
                <c16:uniqueId val="{00000011-B523-4BF2-A288-31AD7150CE1B}"/>
              </c:ext>
            </c:extLst>
          </c:dPt>
          <c:dPt>
            <c:idx val="13"/>
            <c:invertIfNegative val="0"/>
            <c:bubble3D val="0"/>
            <c:spPr>
              <a:solidFill>
                <a:srgbClr val="FFC000"/>
              </a:solidFill>
              <a:ln>
                <a:solidFill>
                  <a:srgbClr val="002060"/>
                </a:solidFill>
              </a:ln>
              <a:effectLst/>
            </c:spPr>
            <c:extLst>
              <c:ext xmlns:c16="http://schemas.microsoft.com/office/drawing/2014/chart" uri="{C3380CC4-5D6E-409C-BE32-E72D297353CC}">
                <c16:uniqueId val="{00000013-B523-4BF2-A288-31AD7150CE1B}"/>
              </c:ext>
            </c:extLst>
          </c:dPt>
          <c:dPt>
            <c:idx val="14"/>
            <c:invertIfNegative val="0"/>
            <c:bubble3D val="0"/>
            <c:spPr>
              <a:solidFill>
                <a:schemeClr val="accent1">
                  <a:lumMod val="75000"/>
                </a:schemeClr>
              </a:solidFill>
              <a:ln>
                <a:solidFill>
                  <a:srgbClr val="002060"/>
                </a:solidFill>
              </a:ln>
              <a:effectLst/>
            </c:spPr>
            <c:extLst>
              <c:ext xmlns:c16="http://schemas.microsoft.com/office/drawing/2014/chart" uri="{C3380CC4-5D6E-409C-BE32-E72D297353CC}">
                <c16:uniqueId val="{00000009-9F82-4357-BA0A-01D08D811CBB}"/>
              </c:ext>
            </c:extLst>
          </c:dPt>
          <c:dPt>
            <c:idx val="15"/>
            <c:invertIfNegative val="0"/>
            <c:bubble3D val="0"/>
            <c:spPr>
              <a:solidFill>
                <a:srgbClr val="92D050"/>
              </a:solidFill>
              <a:ln>
                <a:solidFill>
                  <a:srgbClr val="002060"/>
                </a:solidFill>
              </a:ln>
              <a:effectLst/>
            </c:spPr>
            <c:extLst>
              <c:ext xmlns:c16="http://schemas.microsoft.com/office/drawing/2014/chart" uri="{C3380CC4-5D6E-409C-BE32-E72D297353CC}">
                <c16:uniqueId val="{00000017-B523-4BF2-A288-31AD7150CE1B}"/>
              </c:ext>
            </c:extLst>
          </c:dPt>
          <c:dLbls>
            <c:dLbl>
              <c:idx val="0"/>
              <c:layout>
                <c:manualLayout>
                  <c:x val="0"/>
                  <c:y val="-3.70738108192035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F82-4357-BA0A-01D08D811CB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Arial Narrow" panose="020B060602020203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'CALCULATION-NGẮN'!$A$71:$A$87</c:f>
              <c:strCache>
                <c:ptCount val="16"/>
                <c:pt idx="0">
                  <c:v>ANH MINH</c:v>
                </c:pt>
                <c:pt idx="1">
                  <c:v>CITY</c:v>
                </c:pt>
                <c:pt idx="2">
                  <c:v>GHP</c:v>
                </c:pt>
                <c:pt idx="3">
                  <c:v>HOI TU</c:v>
                </c:pt>
                <c:pt idx="4">
                  <c:v>KHANG THINH</c:v>
                </c:pt>
                <c:pt idx="5">
                  <c:v>LOGITEM</c:v>
                </c:pt>
                <c:pt idx="6">
                  <c:v>NHAT PHONG VAN</c:v>
                </c:pt>
                <c:pt idx="7">
                  <c:v>NHAT QUANG</c:v>
                </c:pt>
                <c:pt idx="8">
                  <c:v>NHAT TIN</c:v>
                </c:pt>
                <c:pt idx="9">
                  <c:v>NHUT LIEN</c:v>
                </c:pt>
                <c:pt idx="10">
                  <c:v>PHUONG ANH</c:v>
                </c:pt>
                <c:pt idx="11">
                  <c:v>PHUONG DUC</c:v>
                </c:pt>
                <c:pt idx="12">
                  <c:v>SPNL</c:v>
                </c:pt>
                <c:pt idx="13">
                  <c:v>THUAN THANH TIN</c:v>
                </c:pt>
                <c:pt idx="14">
                  <c:v>THUY ANH</c:v>
                </c:pt>
                <c:pt idx="15">
                  <c:v>VINAFCO</c:v>
                </c:pt>
              </c:strCache>
            </c:strRef>
          </c:cat>
          <c:val>
            <c:numRef>
              <c:f>'CALCULATION-NGẮN'!$B$71:$B$87</c:f>
              <c:numCache>
                <c:formatCode>0%</c:formatCode>
                <c:ptCount val="16"/>
                <c:pt idx="0">
                  <c:v>0.95459999999999989</c:v>
                </c:pt>
                <c:pt idx="1">
                  <c:v>0.95340000000000003</c:v>
                </c:pt>
                <c:pt idx="2">
                  <c:v>0.95299999999999996</c:v>
                </c:pt>
                <c:pt idx="3">
                  <c:v>0.96179999999999999</c:v>
                </c:pt>
                <c:pt idx="4">
                  <c:v>0.94000000000000006</c:v>
                </c:pt>
                <c:pt idx="5">
                  <c:v>0.95525000000000004</c:v>
                </c:pt>
                <c:pt idx="6">
                  <c:v>0.9224</c:v>
                </c:pt>
                <c:pt idx="7">
                  <c:v>0.96419999999999995</c:v>
                </c:pt>
                <c:pt idx="8">
                  <c:v>0.96299999999999997</c:v>
                </c:pt>
                <c:pt idx="9">
                  <c:v>0.93119999999999992</c:v>
                </c:pt>
                <c:pt idx="10">
                  <c:v>0.95799999999999996</c:v>
                </c:pt>
                <c:pt idx="11">
                  <c:v>0.95579999999999998</c:v>
                </c:pt>
                <c:pt idx="12">
                  <c:v>0.96279999999999999</c:v>
                </c:pt>
                <c:pt idx="13">
                  <c:v>0.96204000000000001</c:v>
                </c:pt>
                <c:pt idx="14">
                  <c:v>0.96460000000000012</c:v>
                </c:pt>
                <c:pt idx="15">
                  <c:v>0.95809999999999995</c:v>
                </c:pt>
              </c:numCache>
            </c:numRef>
          </c:val>
          <c:extLst>
            <c:ext xmlns:c16="http://schemas.microsoft.com/office/drawing/2014/chart" uri="{C3380CC4-5D6E-409C-BE32-E72D297353CC}">
              <c16:uniqueId val="{00000000-84CF-426E-9BA2-72E3684A199F}"/>
            </c:ext>
          </c:extLst>
        </c:ser>
        <c:dLbls>
          <c:showLegendKey val="0"/>
          <c:showVal val="0"/>
          <c:showCatName val="0"/>
          <c:showSerName val="0"/>
          <c:showPercent val="0"/>
          <c:showBubbleSize val="0"/>
        </c:dLbls>
        <c:gapWidth val="219"/>
        <c:axId val="2064253343"/>
        <c:axId val="2064250463"/>
      </c:barChart>
      <c:lineChart>
        <c:grouping val="standard"/>
        <c:varyColors val="0"/>
        <c:ser>
          <c:idx val="1"/>
          <c:order val="1"/>
          <c:tx>
            <c:strRef>
              <c:f>'CALCULATION-NGẮN'!$C$70</c:f>
              <c:strCache>
                <c:ptCount val="1"/>
                <c:pt idx="0">
                  <c:v>Excellent</c:v>
                </c:pt>
              </c:strCache>
            </c:strRef>
          </c:tx>
          <c:spPr>
            <a:ln w="28575" cap="rnd">
              <a:solidFill>
                <a:srgbClr val="00B050"/>
              </a:solidFill>
              <a:prstDash val="sysDash"/>
              <a:round/>
              <a:extLst>
                <a:ext uri="{C807C97D-BFC1-408E-A445-0C87EB9F89A2}">
                  <ask:lineSketchStyleProps xmlns:ask="http://schemas.microsoft.com/office/drawing/2018/sketchyshapes">
                    <ask:type>
                      <ask:lineSketchNone/>
                    </ask:type>
                  </ask:lineSketchStyleProps>
                </a:ext>
              </a:extLst>
            </a:ln>
            <a:effectLst/>
          </c:spPr>
          <c:marker>
            <c:symbol val="none"/>
          </c:marker>
          <c:cat>
            <c:strRef>
              <c:f>'CALCULATION-NGẮN'!$A$71:$A$87</c:f>
              <c:strCache>
                <c:ptCount val="16"/>
                <c:pt idx="0">
                  <c:v>ANH MINH</c:v>
                </c:pt>
                <c:pt idx="1">
                  <c:v>CITY</c:v>
                </c:pt>
                <c:pt idx="2">
                  <c:v>GHP</c:v>
                </c:pt>
                <c:pt idx="3">
                  <c:v>HOI TU</c:v>
                </c:pt>
                <c:pt idx="4">
                  <c:v>KHANG THINH</c:v>
                </c:pt>
                <c:pt idx="5">
                  <c:v>LOGITEM</c:v>
                </c:pt>
                <c:pt idx="6">
                  <c:v>NHAT PHONG VAN</c:v>
                </c:pt>
                <c:pt idx="7">
                  <c:v>NHAT QUANG</c:v>
                </c:pt>
                <c:pt idx="8">
                  <c:v>NHAT TIN</c:v>
                </c:pt>
                <c:pt idx="9">
                  <c:v>NHUT LIEN</c:v>
                </c:pt>
                <c:pt idx="10">
                  <c:v>PHUONG ANH</c:v>
                </c:pt>
                <c:pt idx="11">
                  <c:v>PHUONG DUC</c:v>
                </c:pt>
                <c:pt idx="12">
                  <c:v>SPNL</c:v>
                </c:pt>
                <c:pt idx="13">
                  <c:v>THUAN THANH TIN</c:v>
                </c:pt>
                <c:pt idx="14">
                  <c:v>THUY ANH</c:v>
                </c:pt>
                <c:pt idx="15">
                  <c:v>VINAFCO</c:v>
                </c:pt>
              </c:strCache>
            </c:strRef>
          </c:cat>
          <c:val>
            <c:numRef>
              <c:f>'CALCULATION-NGẮN'!$C$71:$C$87</c:f>
              <c:numCache>
                <c:formatCode>0%</c:formatCode>
                <c:ptCount val="16"/>
                <c:pt idx="0">
                  <c:v>0.95</c:v>
                </c:pt>
                <c:pt idx="1">
                  <c:v>0.95</c:v>
                </c:pt>
                <c:pt idx="2">
                  <c:v>0.95</c:v>
                </c:pt>
                <c:pt idx="3">
                  <c:v>0.95</c:v>
                </c:pt>
                <c:pt idx="4">
                  <c:v>0.95</c:v>
                </c:pt>
                <c:pt idx="5">
                  <c:v>0.95</c:v>
                </c:pt>
                <c:pt idx="6">
                  <c:v>0.95</c:v>
                </c:pt>
                <c:pt idx="7">
                  <c:v>0.95</c:v>
                </c:pt>
                <c:pt idx="8">
                  <c:v>0.95</c:v>
                </c:pt>
                <c:pt idx="9">
                  <c:v>0.95</c:v>
                </c:pt>
                <c:pt idx="10">
                  <c:v>0.95</c:v>
                </c:pt>
                <c:pt idx="11">
                  <c:v>0.95</c:v>
                </c:pt>
                <c:pt idx="12">
                  <c:v>0.95</c:v>
                </c:pt>
                <c:pt idx="13">
                  <c:v>0.95</c:v>
                </c:pt>
                <c:pt idx="14">
                  <c:v>0.95</c:v>
                </c:pt>
                <c:pt idx="15">
                  <c:v>0.95</c:v>
                </c:pt>
              </c:numCache>
            </c:numRef>
          </c:val>
          <c:smooth val="0"/>
          <c:extLst>
            <c:ext xmlns:c16="http://schemas.microsoft.com/office/drawing/2014/chart" uri="{C3380CC4-5D6E-409C-BE32-E72D297353CC}">
              <c16:uniqueId val="{00000001-84CF-426E-9BA2-72E3684A199F}"/>
            </c:ext>
          </c:extLst>
        </c:ser>
        <c:ser>
          <c:idx val="2"/>
          <c:order val="2"/>
          <c:tx>
            <c:strRef>
              <c:f>'CALCULATION-NGẮN'!$D$70</c:f>
              <c:strCache>
                <c:ptCount val="1"/>
                <c:pt idx="0">
                  <c:v>Good.</c:v>
                </c:pt>
              </c:strCache>
            </c:strRef>
          </c:tx>
          <c:spPr>
            <a:ln w="28575" cap="rnd">
              <a:solidFill>
                <a:schemeClr val="accent4">
                  <a:lumMod val="60000"/>
                  <a:lumOff val="40000"/>
                </a:schemeClr>
              </a:solidFill>
              <a:prstDash val="sysDash"/>
              <a:round/>
            </a:ln>
            <a:effectLst/>
          </c:spPr>
          <c:marker>
            <c:symbol val="none"/>
          </c:marker>
          <c:cat>
            <c:strRef>
              <c:f>'CALCULATION-NGẮN'!$A$71:$A$87</c:f>
              <c:strCache>
                <c:ptCount val="16"/>
                <c:pt idx="0">
                  <c:v>ANH MINH</c:v>
                </c:pt>
                <c:pt idx="1">
                  <c:v>CITY</c:v>
                </c:pt>
                <c:pt idx="2">
                  <c:v>GHP</c:v>
                </c:pt>
                <c:pt idx="3">
                  <c:v>HOI TU</c:v>
                </c:pt>
                <c:pt idx="4">
                  <c:v>KHANG THINH</c:v>
                </c:pt>
                <c:pt idx="5">
                  <c:v>LOGITEM</c:v>
                </c:pt>
                <c:pt idx="6">
                  <c:v>NHAT PHONG VAN</c:v>
                </c:pt>
                <c:pt idx="7">
                  <c:v>NHAT QUANG</c:v>
                </c:pt>
                <c:pt idx="8">
                  <c:v>NHAT TIN</c:v>
                </c:pt>
                <c:pt idx="9">
                  <c:v>NHUT LIEN</c:v>
                </c:pt>
                <c:pt idx="10">
                  <c:v>PHUONG ANH</c:v>
                </c:pt>
                <c:pt idx="11">
                  <c:v>PHUONG DUC</c:v>
                </c:pt>
                <c:pt idx="12">
                  <c:v>SPNL</c:v>
                </c:pt>
                <c:pt idx="13">
                  <c:v>THUAN THANH TIN</c:v>
                </c:pt>
                <c:pt idx="14">
                  <c:v>THUY ANH</c:v>
                </c:pt>
                <c:pt idx="15">
                  <c:v>VINAFCO</c:v>
                </c:pt>
              </c:strCache>
            </c:strRef>
          </c:cat>
          <c:val>
            <c:numRef>
              <c:f>'CALCULATION-NGẮN'!$D$71:$D$87</c:f>
              <c:numCache>
                <c:formatCode>0%</c:formatCode>
                <c:ptCount val="16"/>
                <c:pt idx="0">
                  <c:v>0.9</c:v>
                </c:pt>
                <c:pt idx="1">
                  <c:v>0.9</c:v>
                </c:pt>
                <c:pt idx="2">
                  <c:v>0.9</c:v>
                </c:pt>
                <c:pt idx="3">
                  <c:v>0.9</c:v>
                </c:pt>
                <c:pt idx="4">
                  <c:v>0.9</c:v>
                </c:pt>
                <c:pt idx="5">
                  <c:v>0.9</c:v>
                </c:pt>
                <c:pt idx="6">
                  <c:v>0.9</c:v>
                </c:pt>
                <c:pt idx="7">
                  <c:v>0.9</c:v>
                </c:pt>
                <c:pt idx="8">
                  <c:v>0.9</c:v>
                </c:pt>
                <c:pt idx="9">
                  <c:v>0.9</c:v>
                </c:pt>
                <c:pt idx="10">
                  <c:v>0.9</c:v>
                </c:pt>
                <c:pt idx="11">
                  <c:v>0.9</c:v>
                </c:pt>
                <c:pt idx="12">
                  <c:v>0.9</c:v>
                </c:pt>
                <c:pt idx="13">
                  <c:v>0.9</c:v>
                </c:pt>
                <c:pt idx="14">
                  <c:v>0.9</c:v>
                </c:pt>
                <c:pt idx="15">
                  <c:v>0.9</c:v>
                </c:pt>
              </c:numCache>
            </c:numRef>
          </c:val>
          <c:smooth val="0"/>
          <c:extLst>
            <c:ext xmlns:c16="http://schemas.microsoft.com/office/drawing/2014/chart" uri="{C3380CC4-5D6E-409C-BE32-E72D297353CC}">
              <c16:uniqueId val="{00000002-84CF-426E-9BA2-72E3684A199F}"/>
            </c:ext>
          </c:extLst>
        </c:ser>
        <c:ser>
          <c:idx val="3"/>
          <c:order val="3"/>
          <c:tx>
            <c:strRef>
              <c:f>'CALCULATION-NGẮN'!$E$70</c:f>
              <c:strCache>
                <c:ptCount val="1"/>
                <c:pt idx="0">
                  <c:v>Need to improve</c:v>
                </c:pt>
              </c:strCache>
            </c:strRef>
          </c:tx>
          <c:spPr>
            <a:ln w="28575" cap="rnd">
              <a:solidFill>
                <a:srgbClr val="FF0000"/>
              </a:solidFill>
              <a:prstDash val="sysDash"/>
              <a:round/>
            </a:ln>
            <a:effectLst/>
          </c:spPr>
          <c:marker>
            <c:symbol val="none"/>
          </c:marker>
          <c:cat>
            <c:strRef>
              <c:f>'CALCULATION-NGẮN'!$A$71:$A$87</c:f>
              <c:strCache>
                <c:ptCount val="16"/>
                <c:pt idx="0">
                  <c:v>ANH MINH</c:v>
                </c:pt>
                <c:pt idx="1">
                  <c:v>CITY</c:v>
                </c:pt>
                <c:pt idx="2">
                  <c:v>GHP</c:v>
                </c:pt>
                <c:pt idx="3">
                  <c:v>HOI TU</c:v>
                </c:pt>
                <c:pt idx="4">
                  <c:v>KHANG THINH</c:v>
                </c:pt>
                <c:pt idx="5">
                  <c:v>LOGITEM</c:v>
                </c:pt>
                <c:pt idx="6">
                  <c:v>NHAT PHONG VAN</c:v>
                </c:pt>
                <c:pt idx="7">
                  <c:v>NHAT QUANG</c:v>
                </c:pt>
                <c:pt idx="8">
                  <c:v>NHAT TIN</c:v>
                </c:pt>
                <c:pt idx="9">
                  <c:v>NHUT LIEN</c:v>
                </c:pt>
                <c:pt idx="10">
                  <c:v>PHUONG ANH</c:v>
                </c:pt>
                <c:pt idx="11">
                  <c:v>PHUONG DUC</c:v>
                </c:pt>
                <c:pt idx="12">
                  <c:v>SPNL</c:v>
                </c:pt>
                <c:pt idx="13">
                  <c:v>THUAN THANH TIN</c:v>
                </c:pt>
                <c:pt idx="14">
                  <c:v>THUY ANH</c:v>
                </c:pt>
                <c:pt idx="15">
                  <c:v>VINAFCO</c:v>
                </c:pt>
              </c:strCache>
            </c:strRef>
          </c:cat>
          <c:val>
            <c:numRef>
              <c:f>'CALCULATION-NGẮN'!$E$71:$E$87</c:f>
              <c:numCache>
                <c:formatCode>0%</c:formatCode>
                <c:ptCount val="16"/>
                <c:pt idx="0">
                  <c:v>0.85</c:v>
                </c:pt>
                <c:pt idx="1">
                  <c:v>0.85</c:v>
                </c:pt>
                <c:pt idx="2">
                  <c:v>0.85</c:v>
                </c:pt>
                <c:pt idx="3">
                  <c:v>0.85</c:v>
                </c:pt>
                <c:pt idx="4">
                  <c:v>0.85</c:v>
                </c:pt>
                <c:pt idx="5">
                  <c:v>0.85</c:v>
                </c:pt>
                <c:pt idx="6">
                  <c:v>0.85</c:v>
                </c:pt>
                <c:pt idx="7">
                  <c:v>0.85</c:v>
                </c:pt>
                <c:pt idx="8">
                  <c:v>0.85</c:v>
                </c:pt>
                <c:pt idx="9">
                  <c:v>0.85</c:v>
                </c:pt>
                <c:pt idx="10">
                  <c:v>0.85</c:v>
                </c:pt>
                <c:pt idx="11">
                  <c:v>0.85</c:v>
                </c:pt>
                <c:pt idx="12">
                  <c:v>0.85</c:v>
                </c:pt>
                <c:pt idx="13">
                  <c:v>0.85</c:v>
                </c:pt>
                <c:pt idx="14">
                  <c:v>0.85</c:v>
                </c:pt>
                <c:pt idx="15">
                  <c:v>0.85</c:v>
                </c:pt>
              </c:numCache>
            </c:numRef>
          </c:val>
          <c:smooth val="0"/>
          <c:extLst>
            <c:ext xmlns:c16="http://schemas.microsoft.com/office/drawing/2014/chart" uri="{C3380CC4-5D6E-409C-BE32-E72D297353CC}">
              <c16:uniqueId val="{00000003-84CF-426E-9BA2-72E3684A199F}"/>
            </c:ext>
          </c:extLst>
        </c:ser>
        <c:dLbls>
          <c:showLegendKey val="0"/>
          <c:showVal val="0"/>
          <c:showCatName val="0"/>
          <c:showSerName val="0"/>
          <c:showPercent val="0"/>
          <c:showBubbleSize val="0"/>
        </c:dLbls>
        <c:marker val="1"/>
        <c:smooth val="0"/>
        <c:axId val="2064253343"/>
        <c:axId val="2064250463"/>
      </c:lineChart>
      <c:catAx>
        <c:axId val="2064253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crossAx val="2064250463"/>
        <c:crosses val="autoZero"/>
        <c:auto val="1"/>
        <c:lblAlgn val="ctr"/>
        <c:lblOffset val="100"/>
        <c:noMultiLvlLbl val="0"/>
      </c:catAx>
      <c:valAx>
        <c:axId val="2064250463"/>
        <c:scaling>
          <c:orientation val="minMax"/>
          <c:min val="0.82000000000000006"/>
        </c:scaling>
        <c:delete val="1"/>
        <c:axPos val="l"/>
        <c:numFmt formatCode="0%" sourceLinked="1"/>
        <c:majorTickMark val="none"/>
        <c:minorTickMark val="none"/>
        <c:tickLblPos val="nextTo"/>
        <c:crossAx val="2064253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[Dashboard - DAV Transportation Cost.xlsm]CALCULATION-NGẮN!tỉ lệ.</c:name>
    <c:fmtId val="9"/>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r>
              <a:rPr lang="en-US" sz="1800" b="0" baseline="0">
                <a:solidFill>
                  <a:schemeClr val="accent1">
                    <a:lumMod val="75000"/>
                  </a:schemeClr>
                </a:solidFill>
                <a:latin typeface="UTM Bebas" panose="02040603050506020204" pitchFamily="18" charset="0"/>
              </a:rPr>
              <a:t> RATIO USING</a:t>
            </a:r>
            <a:endParaRPr lang="en-US" sz="1800" b="0">
              <a:solidFill>
                <a:schemeClr val="accent1">
                  <a:lumMod val="75000"/>
                </a:schemeClr>
              </a:solidFill>
              <a:latin typeface="UTM Bebas" panose="02040603050506020204" pitchFamily="18" charset="0"/>
            </a:endParaRPr>
          </a:p>
        </c:rich>
      </c:tx>
      <c:layout>
        <c:manualLayout>
          <c:xMode val="edge"/>
          <c:yMode val="edge"/>
          <c:x val="0.38786167134733246"/>
          <c:y val="6.7514920507548037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UTM Bebas" panose="02040603050506020204" pitchFamily="18" charset="0"/>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lt1"/>
            </a:solidFill>
          </a:ln>
          <a:effectLst/>
        </c:spPr>
      </c:pivotFmt>
      <c:pivotFmt>
        <c:idx val="9"/>
        <c:spPr>
          <a:solidFill>
            <a:schemeClr val="accent5"/>
          </a:solidFill>
          <a:ln w="19050">
            <a:solidFill>
              <a:schemeClr val="lt1"/>
            </a:solidFill>
          </a:ln>
          <a:effectLst/>
        </c:spPr>
      </c:pivotFmt>
      <c:pivotFmt>
        <c:idx val="10"/>
        <c:spPr>
          <a:solidFill>
            <a:schemeClr val="accent5"/>
          </a:solidFill>
          <a:ln w="19050">
            <a:solidFill>
              <a:schemeClr val="lt1"/>
            </a:solidFill>
          </a:ln>
          <a:effectLst/>
        </c:spPr>
      </c:pivotFmt>
      <c:pivotFmt>
        <c:idx val="11"/>
        <c:spPr>
          <a:solidFill>
            <a:schemeClr val="accent5"/>
          </a:solidFill>
          <a:ln w="19050">
            <a:solidFill>
              <a:schemeClr val="lt1"/>
            </a:solidFill>
          </a:ln>
          <a:effectLst/>
        </c:spPr>
      </c:pivotFmt>
      <c:pivotFmt>
        <c:idx val="12"/>
        <c:spPr>
          <a:solidFill>
            <a:schemeClr val="accent5"/>
          </a:solidFill>
          <a:ln w="19050">
            <a:solidFill>
              <a:schemeClr val="lt1"/>
            </a:solidFill>
          </a:ln>
          <a:effectLst/>
        </c:spPr>
      </c:pivotFmt>
      <c:pivotFmt>
        <c:idx val="13"/>
        <c:spPr>
          <a:solidFill>
            <a:schemeClr val="accent5"/>
          </a:solidFill>
          <a:ln w="19050">
            <a:solidFill>
              <a:schemeClr val="lt1"/>
            </a:solidFill>
          </a:ln>
          <a:effectLst/>
        </c:spPr>
      </c:pivotFmt>
      <c:pivotFmt>
        <c:idx val="14"/>
        <c:spPr>
          <a:solidFill>
            <a:schemeClr val="accent5"/>
          </a:solidFill>
          <a:ln w="19050">
            <a:solidFill>
              <a:schemeClr val="lt1"/>
            </a:solidFill>
          </a:ln>
          <a:effectLst/>
        </c:spPr>
      </c:pivotFmt>
      <c:pivotFmt>
        <c:idx val="15"/>
        <c:spPr>
          <a:solidFill>
            <a:schemeClr val="accent5"/>
          </a:solidFill>
          <a:ln w="19050">
            <a:solidFill>
              <a:schemeClr val="lt1"/>
            </a:solidFill>
          </a:ln>
          <a:effectLst/>
        </c:spPr>
      </c:pivotFmt>
      <c:pivotFmt>
        <c:idx val="16"/>
        <c:spPr>
          <a:solidFill>
            <a:schemeClr val="accent5"/>
          </a:solidFill>
          <a:ln w="19050">
            <a:solidFill>
              <a:schemeClr val="lt1"/>
            </a:solidFill>
          </a:ln>
          <a:effectLst/>
        </c:spPr>
      </c:pivotFmt>
      <c:pivotFmt>
        <c:idx val="17"/>
        <c:spPr>
          <a:solidFill>
            <a:schemeClr val="accent5"/>
          </a:solidFill>
          <a:ln w="19050">
            <a:solidFill>
              <a:schemeClr val="lt1"/>
            </a:solidFill>
          </a:ln>
          <a:effectLst/>
        </c:spPr>
      </c:pivotFmt>
      <c:pivotFmt>
        <c:idx val="18"/>
        <c:spPr>
          <a:solidFill>
            <a:schemeClr val="accent5"/>
          </a:solidFill>
          <a:ln w="6350">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9"/>
        <c:spPr>
          <a:solidFill>
            <a:schemeClr val="accent2">
              <a:lumMod val="40000"/>
              <a:lumOff val="60000"/>
            </a:schemeClr>
          </a:solidFill>
          <a:ln w="6350">
            <a:solidFill>
              <a:srgbClr val="002060"/>
            </a:solidFill>
          </a:ln>
          <a:effectLst/>
        </c:spPr>
        <c:dLbl>
          <c:idx val="0"/>
          <c:layout>
            <c:manualLayout>
              <c:x val="1.9225509314433967E-2"/>
              <c:y val="-1.404325391080181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0"/>
        <c:spPr>
          <a:solidFill>
            <a:schemeClr val="accent5">
              <a:tint val="47000"/>
            </a:schemeClr>
          </a:solidFill>
          <a:ln w="6350">
            <a:solidFill>
              <a:srgbClr val="002060"/>
            </a:solidFill>
          </a:ln>
          <a:effectLst/>
        </c:spPr>
      </c:pivotFmt>
      <c:pivotFmt>
        <c:idx val="21"/>
        <c:spPr>
          <a:solidFill>
            <a:schemeClr val="accent1">
              <a:lumMod val="75000"/>
            </a:schemeClr>
          </a:solidFill>
          <a:ln w="6350">
            <a:solidFill>
              <a:srgbClr val="002060"/>
            </a:solidFill>
          </a:ln>
          <a:effectLst/>
        </c:spPr>
        <c:dLbl>
          <c:idx val="0"/>
          <c:layout>
            <c:manualLayout>
              <c:x val="2.1839187134125661E-2"/>
              <c:y val="7.316632627100179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2"/>
        <c:spPr>
          <a:solidFill>
            <a:schemeClr val="accent4">
              <a:lumMod val="40000"/>
              <a:lumOff val="60000"/>
            </a:schemeClr>
          </a:solidFill>
          <a:ln w="6350">
            <a:solidFill>
              <a:srgbClr val="002060"/>
            </a:solidFill>
          </a:ln>
          <a:effectLst/>
        </c:spPr>
        <c:dLbl>
          <c:idx val="0"/>
          <c:layout>
            <c:manualLayout>
              <c:x val="5.6874089617308131E-2"/>
              <c:y val="-3.85074645747209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3"/>
        <c:spPr>
          <a:solidFill>
            <a:schemeClr val="accent6">
              <a:lumMod val="60000"/>
              <a:lumOff val="40000"/>
            </a:schemeClr>
          </a:solidFill>
          <a:ln w="6350">
            <a:solidFill>
              <a:srgbClr val="002060"/>
            </a:solidFill>
          </a:ln>
          <a:effectLst/>
        </c:spPr>
        <c:dLbl>
          <c:idx val="0"/>
          <c:layout>
            <c:manualLayout>
              <c:x val="2.395619826074228E-2"/>
              <c:y val="-2.791783275023298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5453460652038673"/>
                  <c:h val="6.359577300271145E-2"/>
                </c:manualLayout>
              </c15:layout>
            </c:ext>
          </c:extLst>
        </c:dLbl>
      </c:pivotFmt>
      <c:pivotFmt>
        <c:idx val="24"/>
        <c:spPr>
          <a:solidFill>
            <a:srgbClr val="00B0F0"/>
          </a:solidFill>
          <a:ln w="6350">
            <a:solidFill>
              <a:srgbClr val="002060"/>
            </a:solidFill>
          </a:ln>
          <a:effectLst/>
        </c:spPr>
        <c:dLbl>
          <c:idx val="0"/>
          <c:layout>
            <c:manualLayout>
              <c:x val="0.12989465686235674"/>
              <c:y val="-0.14030111311490848"/>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5"/>
        <c:spPr>
          <a:solidFill>
            <a:schemeClr val="accent5">
              <a:tint val="88000"/>
            </a:schemeClr>
          </a:solidFill>
          <a:ln w="6350">
            <a:solidFill>
              <a:srgbClr val="002060"/>
            </a:solidFill>
          </a:ln>
          <a:effectLst/>
        </c:spPr>
        <c:dLbl>
          <c:idx val="0"/>
          <c:layout>
            <c:manualLayout>
              <c:x val="0.24857253125717979"/>
              <c:y val="-0.1266180507627627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6"/>
        <c:spPr>
          <a:solidFill>
            <a:schemeClr val="bg2">
              <a:lumMod val="50000"/>
            </a:schemeClr>
          </a:solidFill>
          <a:ln w="6350">
            <a:solidFill>
              <a:srgbClr val="002060"/>
            </a:solidFill>
          </a:ln>
          <a:effectLst/>
        </c:spPr>
        <c:dLbl>
          <c:idx val="0"/>
          <c:layout>
            <c:manualLayout>
              <c:x val="0.17558038923589322"/>
              <c:y val="-0.20382166882594133"/>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19040763283775872"/>
                  <c:h val="0.26018489727000688"/>
                </c:manualLayout>
              </c15:layout>
            </c:ext>
          </c:extLst>
        </c:dLbl>
      </c:pivotFmt>
      <c:pivotFmt>
        <c:idx val="27"/>
        <c:spPr>
          <a:solidFill>
            <a:schemeClr val="accent5">
              <a:shade val="95000"/>
            </a:schemeClr>
          </a:solidFill>
          <a:ln w="6350">
            <a:solidFill>
              <a:srgbClr val="002060"/>
            </a:solidFill>
          </a:ln>
          <a:effectLst/>
        </c:spPr>
        <c:dLbl>
          <c:idx val="0"/>
          <c:layout>
            <c:manualLayout>
              <c:x val="0.13854001496224919"/>
              <c:y val="1.78482823958044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8"/>
        <c:spPr>
          <a:solidFill>
            <a:srgbClr val="C00000"/>
          </a:solidFill>
          <a:ln w="6350">
            <a:solidFill>
              <a:srgbClr val="002060"/>
            </a:solidFill>
          </a:ln>
          <a:effectLst/>
        </c:spPr>
      </c:pivotFmt>
      <c:pivotFmt>
        <c:idx val="29"/>
        <c:spPr>
          <a:solidFill>
            <a:schemeClr val="accent5">
              <a:shade val="79000"/>
            </a:schemeClr>
          </a:solidFill>
          <a:ln w="6350">
            <a:solidFill>
              <a:srgbClr val="002060"/>
            </a:solidFill>
          </a:ln>
          <a:effectLst/>
        </c:spPr>
        <c:dLbl>
          <c:idx val="0"/>
          <c:layout>
            <c:manualLayout>
              <c:x val="-0.12137794543343931"/>
              <c:y val="-5.306588026600059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0"/>
        <c:spPr>
          <a:solidFill>
            <a:schemeClr val="accent6">
              <a:lumMod val="75000"/>
            </a:schemeClr>
          </a:solidFill>
          <a:ln w="6350">
            <a:solidFill>
              <a:srgbClr val="002060"/>
            </a:solidFill>
          </a:ln>
          <a:effectLst/>
        </c:spPr>
        <c:dLbl>
          <c:idx val="0"/>
          <c:layout>
            <c:manualLayout>
              <c:x val="-0.12523319567007751"/>
              <c:y val="-0.1147963881044717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1"/>
        <c:spPr>
          <a:solidFill>
            <a:schemeClr val="accent2">
              <a:lumMod val="75000"/>
            </a:schemeClr>
          </a:solidFill>
          <a:ln w="6350">
            <a:solidFill>
              <a:srgbClr val="002060"/>
            </a:solidFill>
          </a:ln>
          <a:effectLst/>
        </c:spPr>
        <c:dLbl>
          <c:idx val="0"/>
          <c:layout>
            <c:manualLayout>
              <c:x val="-1.9328879366771658E-2"/>
              <c:y val="-3.604129446872272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2"/>
        <c:spPr>
          <a:solidFill>
            <a:srgbClr val="FFC000"/>
          </a:solidFill>
          <a:ln w="6350">
            <a:solidFill>
              <a:srgbClr val="002060"/>
            </a:solidFill>
          </a:ln>
          <a:effectLst/>
        </c:spPr>
        <c:dLbl>
          <c:idx val="0"/>
          <c:layout>
            <c:manualLayout>
              <c:x val="7.7543572929269387E-3"/>
              <c:y val="-2.995528704983091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33"/>
        <c:spPr>
          <a:solidFill>
            <a:schemeClr val="accent5">
              <a:shade val="46000"/>
            </a:schemeClr>
          </a:solidFill>
          <a:ln w="6350">
            <a:solidFill>
              <a:srgbClr val="002060"/>
            </a:solidFill>
          </a:ln>
          <a:effectLst/>
        </c:spPr>
      </c:pivotFmt>
      <c:pivotFmt>
        <c:idx val="34"/>
        <c:spPr>
          <a:solidFill>
            <a:srgbClr val="92D050"/>
          </a:solidFill>
          <a:ln w="6350">
            <a:solidFill>
              <a:srgbClr val="002060"/>
            </a:solidFill>
          </a:ln>
          <a:effectLst/>
        </c:spPr>
        <c:dLbl>
          <c:idx val="0"/>
          <c:layout>
            <c:manualLayout>
              <c:x val="-3.7398266325771833E-2"/>
              <c:y val="-3.563331163984503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pieChart>
        <c:varyColors val="1"/>
        <c:ser>
          <c:idx val="0"/>
          <c:order val="0"/>
          <c:tx>
            <c:strRef>
              <c:f>'CALCULATION-NGẮN'!$B$116</c:f>
              <c:strCache>
                <c:ptCount val="1"/>
                <c:pt idx="0">
                  <c:v>Total</c:v>
                </c:pt>
              </c:strCache>
            </c:strRef>
          </c:tx>
          <c:spPr>
            <a:ln w="6350">
              <a:solidFill>
                <a:srgbClr val="002060"/>
              </a:solidFill>
            </a:ln>
          </c:spPr>
          <c:dPt>
            <c:idx val="0"/>
            <c:bubble3D val="0"/>
            <c:explosion val="11"/>
            <c:spPr>
              <a:solidFill>
                <a:schemeClr val="accent2">
                  <a:lumMod val="40000"/>
                  <a:lumOff val="60000"/>
                </a:schemeClr>
              </a:solidFill>
              <a:ln w="6350">
                <a:solidFill>
                  <a:srgbClr val="002060"/>
                </a:solidFill>
              </a:ln>
              <a:effectLst/>
            </c:spPr>
            <c:extLst>
              <c:ext xmlns:c16="http://schemas.microsoft.com/office/drawing/2014/chart" uri="{C3380CC4-5D6E-409C-BE32-E72D297353CC}">
                <c16:uniqueId val="{00000001-C644-46E3-A43D-83455546BEC4}"/>
              </c:ext>
            </c:extLst>
          </c:dPt>
          <c:dPt>
            <c:idx val="1"/>
            <c:bubble3D val="0"/>
            <c:explosion val="8"/>
            <c:spPr>
              <a:solidFill>
                <a:schemeClr val="accent5">
                  <a:tint val="47000"/>
                </a:schemeClr>
              </a:solidFill>
              <a:ln w="6350">
                <a:solidFill>
                  <a:srgbClr val="002060"/>
                </a:solidFill>
              </a:ln>
              <a:effectLst/>
            </c:spPr>
            <c:extLst>
              <c:ext xmlns:c16="http://schemas.microsoft.com/office/drawing/2014/chart" uri="{C3380CC4-5D6E-409C-BE32-E72D297353CC}">
                <c16:uniqueId val="{00000003-C644-46E3-A43D-83455546BEC4}"/>
              </c:ext>
            </c:extLst>
          </c:dPt>
          <c:dPt>
            <c:idx val="2"/>
            <c:bubble3D val="0"/>
            <c:explosion val="18"/>
            <c:spPr>
              <a:solidFill>
                <a:schemeClr val="accent1">
                  <a:lumMod val="75000"/>
                </a:schemeClr>
              </a:solidFill>
              <a:ln w="6350">
                <a:solidFill>
                  <a:srgbClr val="002060"/>
                </a:solidFill>
              </a:ln>
              <a:effectLst/>
            </c:spPr>
            <c:extLst>
              <c:ext xmlns:c16="http://schemas.microsoft.com/office/drawing/2014/chart" uri="{C3380CC4-5D6E-409C-BE32-E72D297353CC}">
                <c16:uniqueId val="{00000005-C644-46E3-A43D-83455546BEC4}"/>
              </c:ext>
            </c:extLst>
          </c:dPt>
          <c:dPt>
            <c:idx val="3"/>
            <c:bubble3D val="0"/>
            <c:explosion val="11"/>
            <c:spPr>
              <a:solidFill>
                <a:schemeClr val="accent4">
                  <a:lumMod val="40000"/>
                  <a:lumOff val="60000"/>
                </a:schemeClr>
              </a:solidFill>
              <a:ln w="6350">
                <a:solidFill>
                  <a:srgbClr val="002060"/>
                </a:solidFill>
              </a:ln>
              <a:effectLst/>
            </c:spPr>
            <c:extLst>
              <c:ext xmlns:c16="http://schemas.microsoft.com/office/drawing/2014/chart" uri="{C3380CC4-5D6E-409C-BE32-E72D297353CC}">
                <c16:uniqueId val="{00000007-C644-46E3-A43D-83455546BEC4}"/>
              </c:ext>
            </c:extLst>
          </c:dPt>
          <c:dPt>
            <c:idx val="4"/>
            <c:bubble3D val="0"/>
            <c:explosion val="17"/>
            <c:spPr>
              <a:solidFill>
                <a:schemeClr val="accent6">
                  <a:lumMod val="60000"/>
                  <a:lumOff val="40000"/>
                </a:schemeClr>
              </a:solidFill>
              <a:ln w="6350">
                <a:solidFill>
                  <a:srgbClr val="002060"/>
                </a:solidFill>
              </a:ln>
              <a:effectLst/>
            </c:spPr>
            <c:extLst>
              <c:ext xmlns:c16="http://schemas.microsoft.com/office/drawing/2014/chart" uri="{C3380CC4-5D6E-409C-BE32-E72D297353CC}">
                <c16:uniqueId val="{00000009-C644-46E3-A43D-83455546BEC4}"/>
              </c:ext>
            </c:extLst>
          </c:dPt>
          <c:dPt>
            <c:idx val="5"/>
            <c:bubble3D val="0"/>
            <c:explosion val="8"/>
            <c:spPr>
              <a:solidFill>
                <a:srgbClr val="00B0F0"/>
              </a:solidFill>
              <a:ln w="6350">
                <a:solidFill>
                  <a:srgbClr val="002060"/>
                </a:solidFill>
              </a:ln>
              <a:effectLst/>
            </c:spPr>
            <c:extLst>
              <c:ext xmlns:c16="http://schemas.microsoft.com/office/drawing/2014/chart" uri="{C3380CC4-5D6E-409C-BE32-E72D297353CC}">
                <c16:uniqueId val="{0000000B-C644-46E3-A43D-83455546BEC4}"/>
              </c:ext>
            </c:extLst>
          </c:dPt>
          <c:dPt>
            <c:idx val="6"/>
            <c:bubble3D val="0"/>
            <c:explosion val="4"/>
            <c:spPr>
              <a:solidFill>
                <a:schemeClr val="accent5">
                  <a:tint val="88000"/>
                </a:schemeClr>
              </a:solidFill>
              <a:ln w="6350">
                <a:solidFill>
                  <a:srgbClr val="002060"/>
                </a:solidFill>
              </a:ln>
              <a:effectLst/>
            </c:spPr>
            <c:extLst>
              <c:ext xmlns:c16="http://schemas.microsoft.com/office/drawing/2014/chart" uri="{C3380CC4-5D6E-409C-BE32-E72D297353CC}">
                <c16:uniqueId val="{0000000D-C644-46E3-A43D-83455546BEC4}"/>
              </c:ext>
            </c:extLst>
          </c:dPt>
          <c:dPt>
            <c:idx val="7"/>
            <c:bubble3D val="0"/>
            <c:explosion val="7"/>
            <c:spPr>
              <a:solidFill>
                <a:schemeClr val="bg2">
                  <a:lumMod val="50000"/>
                </a:schemeClr>
              </a:solidFill>
              <a:ln w="6350">
                <a:solidFill>
                  <a:srgbClr val="002060"/>
                </a:solidFill>
              </a:ln>
              <a:effectLst/>
            </c:spPr>
            <c:extLst>
              <c:ext xmlns:c16="http://schemas.microsoft.com/office/drawing/2014/chart" uri="{C3380CC4-5D6E-409C-BE32-E72D297353CC}">
                <c16:uniqueId val="{0000000F-C644-46E3-A43D-83455546BEC4}"/>
              </c:ext>
            </c:extLst>
          </c:dPt>
          <c:dPt>
            <c:idx val="8"/>
            <c:bubble3D val="0"/>
            <c:spPr>
              <a:solidFill>
                <a:schemeClr val="accent5">
                  <a:shade val="95000"/>
                </a:schemeClr>
              </a:solidFill>
              <a:ln w="6350">
                <a:solidFill>
                  <a:srgbClr val="002060"/>
                </a:solidFill>
              </a:ln>
              <a:effectLst/>
            </c:spPr>
            <c:extLst>
              <c:ext xmlns:c16="http://schemas.microsoft.com/office/drawing/2014/chart" uri="{C3380CC4-5D6E-409C-BE32-E72D297353CC}">
                <c16:uniqueId val="{00000011-C644-46E3-A43D-83455546BEC4}"/>
              </c:ext>
            </c:extLst>
          </c:dPt>
          <c:dPt>
            <c:idx val="9"/>
            <c:bubble3D val="0"/>
            <c:explosion val="11"/>
            <c:spPr>
              <a:solidFill>
                <a:srgbClr val="C00000"/>
              </a:solidFill>
              <a:ln w="6350">
                <a:solidFill>
                  <a:srgbClr val="002060"/>
                </a:solidFill>
              </a:ln>
              <a:effectLst/>
            </c:spPr>
            <c:extLst>
              <c:ext xmlns:c16="http://schemas.microsoft.com/office/drawing/2014/chart" uri="{C3380CC4-5D6E-409C-BE32-E72D297353CC}">
                <c16:uniqueId val="{00000013-C644-46E3-A43D-83455546BEC4}"/>
              </c:ext>
            </c:extLst>
          </c:dPt>
          <c:dPt>
            <c:idx val="10"/>
            <c:bubble3D val="0"/>
            <c:explosion val="16"/>
            <c:spPr>
              <a:solidFill>
                <a:schemeClr val="accent5">
                  <a:shade val="79000"/>
                </a:schemeClr>
              </a:solidFill>
              <a:ln w="6350">
                <a:solidFill>
                  <a:srgbClr val="002060"/>
                </a:solidFill>
              </a:ln>
              <a:effectLst/>
            </c:spPr>
            <c:extLst>
              <c:ext xmlns:c16="http://schemas.microsoft.com/office/drawing/2014/chart" uri="{C3380CC4-5D6E-409C-BE32-E72D297353CC}">
                <c16:uniqueId val="{00000015-C644-46E3-A43D-83455546BEC4}"/>
              </c:ext>
            </c:extLst>
          </c:dPt>
          <c:dPt>
            <c:idx val="11"/>
            <c:bubble3D val="0"/>
            <c:explosion val="18"/>
            <c:spPr>
              <a:solidFill>
                <a:schemeClr val="accent6">
                  <a:lumMod val="75000"/>
                </a:schemeClr>
              </a:solidFill>
              <a:ln w="6350">
                <a:solidFill>
                  <a:srgbClr val="002060"/>
                </a:solidFill>
              </a:ln>
              <a:effectLst/>
            </c:spPr>
            <c:extLst>
              <c:ext xmlns:c16="http://schemas.microsoft.com/office/drawing/2014/chart" uri="{C3380CC4-5D6E-409C-BE32-E72D297353CC}">
                <c16:uniqueId val="{00000017-C644-46E3-A43D-83455546BEC4}"/>
              </c:ext>
            </c:extLst>
          </c:dPt>
          <c:dPt>
            <c:idx val="12"/>
            <c:bubble3D val="0"/>
            <c:explosion val="22"/>
            <c:spPr>
              <a:solidFill>
                <a:schemeClr val="accent2">
                  <a:lumMod val="75000"/>
                </a:schemeClr>
              </a:solidFill>
              <a:ln w="6350">
                <a:solidFill>
                  <a:srgbClr val="002060"/>
                </a:solidFill>
              </a:ln>
              <a:effectLst/>
            </c:spPr>
            <c:extLst>
              <c:ext xmlns:c16="http://schemas.microsoft.com/office/drawing/2014/chart" uri="{C3380CC4-5D6E-409C-BE32-E72D297353CC}">
                <c16:uniqueId val="{00000019-C644-46E3-A43D-83455546BEC4}"/>
              </c:ext>
            </c:extLst>
          </c:dPt>
          <c:dPt>
            <c:idx val="13"/>
            <c:bubble3D val="0"/>
            <c:explosion val="21"/>
            <c:spPr>
              <a:solidFill>
                <a:srgbClr val="FFC000"/>
              </a:solidFill>
              <a:ln w="6350">
                <a:solidFill>
                  <a:srgbClr val="002060"/>
                </a:solidFill>
              </a:ln>
              <a:effectLst/>
            </c:spPr>
            <c:extLst>
              <c:ext xmlns:c16="http://schemas.microsoft.com/office/drawing/2014/chart" uri="{C3380CC4-5D6E-409C-BE32-E72D297353CC}">
                <c16:uniqueId val="{0000001B-C644-46E3-A43D-83455546BEC4}"/>
              </c:ext>
            </c:extLst>
          </c:dPt>
          <c:dPt>
            <c:idx val="14"/>
            <c:bubble3D val="0"/>
            <c:explosion val="12"/>
            <c:spPr>
              <a:solidFill>
                <a:schemeClr val="accent5">
                  <a:shade val="46000"/>
                </a:schemeClr>
              </a:solidFill>
              <a:ln w="6350">
                <a:solidFill>
                  <a:srgbClr val="002060"/>
                </a:solidFill>
              </a:ln>
              <a:effectLst/>
            </c:spPr>
            <c:extLst>
              <c:ext xmlns:c16="http://schemas.microsoft.com/office/drawing/2014/chart" uri="{C3380CC4-5D6E-409C-BE32-E72D297353CC}">
                <c16:uniqueId val="{0000001D-C644-46E3-A43D-83455546BEC4}"/>
              </c:ext>
            </c:extLst>
          </c:dPt>
          <c:dPt>
            <c:idx val="15"/>
            <c:bubble3D val="0"/>
            <c:explosion val="13"/>
            <c:spPr>
              <a:solidFill>
                <a:srgbClr val="92D050"/>
              </a:solidFill>
              <a:ln w="6350">
                <a:solidFill>
                  <a:srgbClr val="002060"/>
                </a:solidFill>
              </a:ln>
              <a:effectLst/>
            </c:spPr>
            <c:extLst>
              <c:ext xmlns:c16="http://schemas.microsoft.com/office/drawing/2014/chart" uri="{C3380CC4-5D6E-409C-BE32-E72D297353CC}">
                <c16:uniqueId val="{0000001F-C644-46E3-A43D-83455546BEC4}"/>
              </c:ext>
            </c:extLst>
          </c:dPt>
          <c:dLbls>
            <c:dLbl>
              <c:idx val="0"/>
              <c:layout>
                <c:manualLayout>
                  <c:x val="1.9225509314433967E-2"/>
                  <c:y val="-1.4043253910801811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C644-46E3-A43D-83455546BEC4}"/>
                </c:ext>
              </c:extLst>
            </c:dLbl>
            <c:dLbl>
              <c:idx val="2"/>
              <c:layout>
                <c:manualLayout>
                  <c:x val="2.1839187134125661E-2"/>
                  <c:y val="7.3166326271001799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C644-46E3-A43D-83455546BEC4}"/>
                </c:ext>
              </c:extLst>
            </c:dLbl>
            <c:dLbl>
              <c:idx val="3"/>
              <c:layout>
                <c:manualLayout>
                  <c:x val="5.6874089617308131E-2"/>
                  <c:y val="-3.850746457472095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C644-46E3-A43D-83455546BEC4}"/>
                </c:ext>
              </c:extLst>
            </c:dLbl>
            <c:dLbl>
              <c:idx val="4"/>
              <c:layout>
                <c:manualLayout>
                  <c:x val="2.395619826074228E-2"/>
                  <c:y val="-2.7917832750232983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25453460652038673"/>
                      <c:h val="6.359577300271145E-2"/>
                    </c:manualLayout>
                  </c15:layout>
                </c:ext>
                <c:ext xmlns:c16="http://schemas.microsoft.com/office/drawing/2014/chart" uri="{C3380CC4-5D6E-409C-BE32-E72D297353CC}">
                  <c16:uniqueId val="{00000009-C644-46E3-A43D-83455546BEC4}"/>
                </c:ext>
              </c:extLst>
            </c:dLbl>
            <c:dLbl>
              <c:idx val="5"/>
              <c:layout>
                <c:manualLayout>
                  <c:x val="0.12989465686235674"/>
                  <c:y val="-0.14030111311490848"/>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C644-46E3-A43D-83455546BEC4}"/>
                </c:ext>
              </c:extLst>
            </c:dLbl>
            <c:dLbl>
              <c:idx val="6"/>
              <c:layout>
                <c:manualLayout>
                  <c:x val="0.24857253125717979"/>
                  <c:y val="-0.1266180507627627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C644-46E3-A43D-83455546BEC4}"/>
                </c:ext>
              </c:extLst>
            </c:dLbl>
            <c:dLbl>
              <c:idx val="7"/>
              <c:layout>
                <c:manualLayout>
                  <c:x val="0.17558038923589322"/>
                  <c:y val="-0.20382166882594133"/>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19040763283775872"/>
                      <c:h val="0.26018489727000688"/>
                    </c:manualLayout>
                  </c15:layout>
                </c:ext>
                <c:ext xmlns:c16="http://schemas.microsoft.com/office/drawing/2014/chart" uri="{C3380CC4-5D6E-409C-BE32-E72D297353CC}">
                  <c16:uniqueId val="{0000000F-C644-46E3-A43D-83455546BEC4}"/>
                </c:ext>
              </c:extLst>
            </c:dLbl>
            <c:dLbl>
              <c:idx val="8"/>
              <c:layout>
                <c:manualLayout>
                  <c:x val="0.13854001496224919"/>
                  <c:y val="1.784828239580449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1-C644-46E3-A43D-83455546BEC4}"/>
                </c:ext>
              </c:extLst>
            </c:dLbl>
            <c:dLbl>
              <c:idx val="10"/>
              <c:layout>
                <c:manualLayout>
                  <c:x val="-0.12137794543343931"/>
                  <c:y val="-5.3065880266000591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5-C644-46E3-A43D-83455546BEC4}"/>
                </c:ext>
              </c:extLst>
            </c:dLbl>
            <c:dLbl>
              <c:idx val="11"/>
              <c:layout>
                <c:manualLayout>
                  <c:x val="-0.12523319567007751"/>
                  <c:y val="-0.1147963881044717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7-C644-46E3-A43D-83455546BEC4}"/>
                </c:ext>
              </c:extLst>
            </c:dLbl>
            <c:dLbl>
              <c:idx val="12"/>
              <c:layout>
                <c:manualLayout>
                  <c:x val="-1.9328879366771658E-2"/>
                  <c:y val="-3.604129446872272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9-C644-46E3-A43D-83455546BEC4}"/>
                </c:ext>
              </c:extLst>
            </c:dLbl>
            <c:dLbl>
              <c:idx val="13"/>
              <c:layout>
                <c:manualLayout>
                  <c:x val="7.7543572929269387E-3"/>
                  <c:y val="-2.9955287049830914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B-C644-46E3-A43D-83455546BEC4}"/>
                </c:ext>
              </c:extLst>
            </c:dLbl>
            <c:dLbl>
              <c:idx val="15"/>
              <c:layout>
                <c:manualLayout>
                  <c:x val="-3.7398266325771833E-2"/>
                  <c:y val="-3.563331163984503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F-C644-46E3-A43D-83455546BEC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Arial Narrow" panose="020B0606020202030204" pitchFamily="34" charset="0"/>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'CALCULATION-NGẮN'!$A$117:$A$133</c:f>
              <c:strCache>
                <c:ptCount val="16"/>
                <c:pt idx="0">
                  <c:v>ANH MINH</c:v>
                </c:pt>
                <c:pt idx="1">
                  <c:v>CITY</c:v>
                </c:pt>
                <c:pt idx="2">
                  <c:v>GHP</c:v>
                </c:pt>
                <c:pt idx="3">
                  <c:v>HOI TU</c:v>
                </c:pt>
                <c:pt idx="4">
                  <c:v>KHANG THINH</c:v>
                </c:pt>
                <c:pt idx="5">
                  <c:v>LOGITEM</c:v>
                </c:pt>
                <c:pt idx="6">
                  <c:v>NHAT PHONG VAN</c:v>
                </c:pt>
                <c:pt idx="7">
                  <c:v>NHAT QUANG</c:v>
                </c:pt>
                <c:pt idx="8">
                  <c:v>NHAT TIN</c:v>
                </c:pt>
                <c:pt idx="9">
                  <c:v>NHUT LIEN</c:v>
                </c:pt>
                <c:pt idx="10">
                  <c:v>PHUONG ANH</c:v>
                </c:pt>
                <c:pt idx="11">
                  <c:v>PHUONG DUC</c:v>
                </c:pt>
                <c:pt idx="12">
                  <c:v>SPNL</c:v>
                </c:pt>
                <c:pt idx="13">
                  <c:v>THUAN THANH TIN</c:v>
                </c:pt>
                <c:pt idx="14">
                  <c:v>THUY ANH</c:v>
                </c:pt>
                <c:pt idx="15">
                  <c:v>VINAFCO</c:v>
                </c:pt>
              </c:strCache>
            </c:strRef>
          </c:cat>
          <c:val>
            <c:numRef>
              <c:f>'CALCULATION-NGẮN'!$B$117:$B$133</c:f>
              <c:numCache>
                <c:formatCode>0.00%</c:formatCode>
                <c:ptCount val="16"/>
                <c:pt idx="0">
                  <c:v>0.1297699780820378</c:v>
                </c:pt>
                <c:pt idx="1">
                  <c:v>3.3347367763236192E-2</c:v>
                </c:pt>
                <c:pt idx="2">
                  <c:v>2.0099154369493492E-2</c:v>
                </c:pt>
                <c:pt idx="3">
                  <c:v>0.10809533127642657</c:v>
                </c:pt>
                <c:pt idx="4">
                  <c:v>1.9857844204697977E-2</c:v>
                </c:pt>
                <c:pt idx="5">
                  <c:v>0.15041287972790285</c:v>
                </c:pt>
                <c:pt idx="6">
                  <c:v>1.8982736341840892E-2</c:v>
                </c:pt>
                <c:pt idx="7">
                  <c:v>5.0517908146384856E-2</c:v>
                </c:pt>
                <c:pt idx="8">
                  <c:v>1.6902567745444004E-3</c:v>
                </c:pt>
                <c:pt idx="9">
                  <c:v>3.0889386183047433E-2</c:v>
                </c:pt>
                <c:pt idx="10">
                  <c:v>1.9361457212698018E-2</c:v>
                </c:pt>
                <c:pt idx="11">
                  <c:v>7.2397585212240281E-2</c:v>
                </c:pt>
                <c:pt idx="12">
                  <c:v>9.7636057067353219E-2</c:v>
                </c:pt>
                <c:pt idx="13">
                  <c:v>6.437203376165794E-2</c:v>
                </c:pt>
                <c:pt idx="14">
                  <c:v>1.6267641639932683E-2</c:v>
                </c:pt>
                <c:pt idx="15">
                  <c:v>0.16630238223650512</c:v>
                </c:pt>
              </c:numCache>
            </c:numRef>
          </c:val>
          <c:extLst>
            <c:ext xmlns:c16="http://schemas.microsoft.com/office/drawing/2014/chart" uri="{C3380CC4-5D6E-409C-BE32-E72D297353CC}">
              <c16:uniqueId val="{00000020-C644-46E3-A43D-83455546BEC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 DAV Transportation Cost.xlsm]CALCULATION- DÀI!chi phí- dài</c:name>
    <c:fmtId val="2"/>
  </c:pivotSource>
  <c:chart>
    <c:title>
      <c:tx>
        <c:rich>
          <a:bodyPr rot="0" spcFirstLastPara="1" vertOverflow="ellipsis" vert="horz" wrap="square" anchor="ctr" anchorCtr="1"/>
          <a:lstStyle/>
          <a:p>
            <a:pPr>
              <a:defRPr sz="1800" b="0" i="0" u="none" strike="noStrike" kern="1200" spc="0" baseline="0">
                <a:solidFill>
                  <a:schemeClr val="accent5">
                    <a:lumMod val="50000"/>
                  </a:schemeClr>
                </a:solidFill>
                <a:latin typeface="UTM Bebas" panose="02040603050506020204" pitchFamily="18" charset="0"/>
                <a:ea typeface="+mn-ea"/>
                <a:cs typeface="+mn-cs"/>
              </a:defRPr>
            </a:pPr>
            <a:r>
              <a:rPr lang="en-US" sz="1800" b="0">
                <a:solidFill>
                  <a:schemeClr val="accent5">
                    <a:lumMod val="50000"/>
                  </a:schemeClr>
                </a:solidFill>
                <a:latin typeface="UTM Bebas" panose="02040603050506020204" pitchFamily="18" charset="0"/>
              </a:rPr>
              <a:t>COST</a:t>
            </a:r>
            <a:r>
              <a:rPr lang="en-US" sz="1800" b="0" baseline="0">
                <a:solidFill>
                  <a:schemeClr val="accent5">
                    <a:lumMod val="50000"/>
                  </a:schemeClr>
                </a:solidFill>
                <a:latin typeface="UTM Bebas" panose="02040603050506020204" pitchFamily="18" charset="0"/>
              </a:rPr>
              <a:t> USING BY MONTH</a:t>
            </a:r>
            <a:endParaRPr lang="en-US" sz="1800" b="0">
              <a:solidFill>
                <a:schemeClr val="accent5">
                  <a:lumMod val="50000"/>
                </a:schemeClr>
              </a:solidFill>
              <a:latin typeface="UTM Bebas" panose="02040603050506020204" pitchFamily="18"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accent5">
                  <a:lumMod val="50000"/>
                </a:schemeClr>
              </a:solidFill>
              <a:latin typeface="UTM Bebas" panose="02040603050506020204" pitchFamily="18" charset="0"/>
              <a:ea typeface="+mn-ea"/>
              <a:cs typeface="+mn-cs"/>
            </a:defRPr>
          </a:pPr>
          <a:endParaRPr lang="en-US"/>
        </a:p>
      </c:txPr>
    </c:title>
    <c:autoTitleDeleted val="0"/>
    <c:pivotFmts>
      <c:pivotFmt>
        <c:idx val="0"/>
        <c:spPr>
          <a:solidFill>
            <a:schemeClr val="accent1"/>
          </a:solidFill>
          <a:ln w="28575" cap="rnd">
            <a:solidFill>
              <a:schemeClr val="accent2">
                <a:lumMod val="60000"/>
                <a:lumOff val="40000"/>
              </a:schemeClr>
            </a:solidFill>
            <a:round/>
          </a:ln>
          <a:effectLst/>
        </c:spPr>
        <c:marker>
          <c:symbol val="none"/>
        </c:marker>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5">
                <a:lumMod val="75000"/>
              </a:schemeClr>
            </a:solidFill>
            <a:round/>
          </a:ln>
          <a:effectLst/>
        </c:spPr>
        <c:marker>
          <c:symbol val="none"/>
        </c:marker>
      </c:pivotFmt>
      <c:pivotFmt>
        <c:idx val="3"/>
        <c:spPr>
          <a:solidFill>
            <a:schemeClr val="accent1"/>
          </a:solidFill>
          <a:ln w="28575" cap="rnd">
            <a:solidFill>
              <a:schemeClr val="accent2"/>
            </a:solidFill>
            <a:round/>
          </a:ln>
          <a:effectLst/>
        </c:spPr>
        <c:marker>
          <c:symbol val="none"/>
        </c:marker>
        <c:dLbl>
          <c:idx val="0"/>
          <c:layout>
            <c:manualLayout>
              <c:x val="-9.1666666666666688E-2"/>
              <c:y val="-2.777777777777778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5">
                <a:lumMod val="75000"/>
              </a:schemeClr>
            </a:solidFill>
            <a:round/>
          </a:ln>
          <a:effectLst/>
        </c:spPr>
        <c:marker>
          <c:symbol val="none"/>
        </c:marker>
      </c:pivotFmt>
      <c:pivotFmt>
        <c:idx val="7"/>
        <c:spPr>
          <a:solidFill>
            <a:schemeClr val="accent1"/>
          </a:solidFill>
          <a:ln w="28575" cap="rnd">
            <a:solidFill>
              <a:schemeClr val="accent5">
                <a:lumMod val="75000"/>
              </a:schemeClr>
            </a:solidFill>
            <a:round/>
          </a:ln>
          <a:effectLst/>
        </c:spPr>
        <c:marker>
          <c:symbol val="none"/>
        </c:marker>
      </c:pivotFmt>
      <c:pivotFmt>
        <c:idx val="8"/>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2">
                <a:lumMod val="60000"/>
                <a:lumOff val="40000"/>
              </a:schemeClr>
            </a:solidFill>
            <a:round/>
          </a:ln>
          <a:effectLst/>
        </c:spPr>
        <c:marker>
          <c:symbol val="none"/>
        </c:marker>
      </c:pivotFmt>
      <c:pivotFmt>
        <c:idx val="10"/>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2"/>
            </a:solidFill>
            <a:round/>
          </a:ln>
          <a:effectLst/>
        </c:spPr>
        <c:marker>
          <c:symbol val="none"/>
        </c:marker>
        <c:dLbl>
          <c:idx val="0"/>
          <c:layout>
            <c:manualLayout>
              <c:x val="-9.1666666666666688E-2"/>
              <c:y val="-2.777777777777778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UTM Helve" panose="02040603050506020204" pitchFamily="18" charset="0"/>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22"/>
        <c:spPr>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UTM Helve"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UTM Helve"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2"/>
                  </a:solidFill>
                  <a:latin typeface="UTM Helve" panose="02040603050506020204" pitchFamily="18" charset="0"/>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layout>
            <c:manualLayout>
              <c:x val="-9.1666666666666688E-2"/>
              <c:y val="-2.7777777777777783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2"/>
                  </a:solidFill>
                  <a:latin typeface="UTM Helve" panose="02040603050506020204" pitchFamily="18" charset="0"/>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2"/>
                  </a:solidFill>
                  <a:latin typeface="UTM Helve"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2"/>
                  </a:solidFill>
                  <a:latin typeface="UTM Helve"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29"/>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5">
                <a:lumMod val="75000"/>
              </a:schemeClr>
            </a:solidFill>
            <a:round/>
          </a:ln>
          <a:effectLst/>
        </c:spPr>
        <c:marker>
          <c:symbol val="none"/>
        </c:marker>
      </c:pivotFmt>
    </c:pivotFmts>
    <c:plotArea>
      <c:layout/>
      <c:lineChart>
        <c:grouping val="standard"/>
        <c:varyColors val="0"/>
        <c:ser>
          <c:idx val="0"/>
          <c:order val="0"/>
          <c:tx>
            <c:strRef>
              <c:f>'CALCULATION- DÀI'!$B$3:$B$4</c:f>
              <c:strCache>
                <c:ptCount val="1"/>
                <c:pt idx="0">
                  <c:v>DN</c:v>
                </c:pt>
              </c:strCache>
            </c:strRef>
          </c:tx>
          <c:spPr>
            <a:ln w="28575" cap="rnd">
              <a:solidFill>
                <a:schemeClr val="accent2">
                  <a:lumMod val="60000"/>
                  <a:lumOff val="40000"/>
                </a:schemeClr>
              </a:solidFill>
              <a:round/>
            </a:ln>
            <a:effectLst/>
          </c:spPr>
          <c:marker>
            <c:symbol val="none"/>
          </c:marker>
          <c:dPt>
            <c:idx val="1"/>
            <c:marker>
              <c:symbol val="none"/>
            </c:marker>
            <c:bubble3D val="0"/>
            <c:extLst>
              <c:ext xmlns:c16="http://schemas.microsoft.com/office/drawing/2014/chart" uri="{C3380CC4-5D6E-409C-BE32-E72D297353CC}">
                <c16:uniqueId val="{00000000-9674-45D2-AF47-EDE0D5A3BF18}"/>
              </c:ext>
            </c:extLst>
          </c:dPt>
          <c:dPt>
            <c:idx val="2"/>
            <c:marker>
              <c:symbol val="none"/>
            </c:marker>
            <c:bubble3D val="0"/>
            <c:extLst>
              <c:ext xmlns:c16="http://schemas.microsoft.com/office/drawing/2014/chart" uri="{C3380CC4-5D6E-409C-BE32-E72D297353CC}">
                <c16:uniqueId val="{00000001-9674-45D2-AF47-EDE0D5A3BF18}"/>
              </c:ext>
            </c:extLst>
          </c:dPt>
          <c:dLbls>
            <c:dLbl>
              <c:idx val="1"/>
              <c:delete val="1"/>
              <c:extLst>
                <c:ext xmlns:c15="http://schemas.microsoft.com/office/drawing/2012/chart" uri="{CE6537A1-D6FC-4f65-9D91-7224C49458BB}"/>
                <c:ext xmlns:c16="http://schemas.microsoft.com/office/drawing/2014/chart" uri="{C3380CC4-5D6E-409C-BE32-E72D297353CC}">
                  <c16:uniqueId val="{00000000-9674-45D2-AF47-EDE0D5A3BF18}"/>
                </c:ext>
              </c:extLst>
            </c:dLbl>
            <c:dLbl>
              <c:idx val="2"/>
              <c:delete val="1"/>
              <c:extLst>
                <c:ext xmlns:c15="http://schemas.microsoft.com/office/drawing/2012/chart" uri="{CE6537A1-D6FC-4f65-9D91-7224C49458BB}"/>
                <c:ext xmlns:c16="http://schemas.microsoft.com/office/drawing/2014/chart" uri="{C3380CC4-5D6E-409C-BE32-E72D297353CC}">
                  <c16:uniqueId val="{00000001-9674-45D2-AF47-EDE0D5A3BF18}"/>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UTM Helve" panose="02040603050506020204" pitchFamily="18" charset="0"/>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DÀI'!$A$5:$A$10</c:f>
              <c:strCache>
                <c:ptCount val="5"/>
                <c:pt idx="0">
                  <c:v>4</c:v>
                </c:pt>
                <c:pt idx="1">
                  <c:v>5</c:v>
                </c:pt>
                <c:pt idx="2">
                  <c:v>6</c:v>
                </c:pt>
                <c:pt idx="3">
                  <c:v>7</c:v>
                </c:pt>
                <c:pt idx="4">
                  <c:v>8</c:v>
                </c:pt>
              </c:strCache>
            </c:strRef>
          </c:cat>
          <c:val>
            <c:numRef>
              <c:f>'CALCULATION- DÀI'!$B$5:$B$10</c:f>
              <c:numCache>
                <c:formatCode>_(* #,##0.00_);_(* \(#,##0.00\);_(* "-"??_);_(@_)</c:formatCode>
                <c:ptCount val="5"/>
                <c:pt idx="0">
                  <c:v>37576000</c:v>
                </c:pt>
                <c:pt idx="1">
                  <c:v>86907000</c:v>
                </c:pt>
                <c:pt idx="2">
                  <c:v>16948000</c:v>
                </c:pt>
                <c:pt idx="4">
                  <c:v>16948000</c:v>
                </c:pt>
              </c:numCache>
            </c:numRef>
          </c:val>
          <c:smooth val="0"/>
          <c:extLst>
            <c:ext xmlns:c16="http://schemas.microsoft.com/office/drawing/2014/chart" uri="{C3380CC4-5D6E-409C-BE32-E72D297353CC}">
              <c16:uniqueId val="{00000008-9FA1-4A7B-9CFC-4298C0296A3D}"/>
            </c:ext>
          </c:extLst>
        </c:ser>
        <c:ser>
          <c:idx val="1"/>
          <c:order val="1"/>
          <c:tx>
            <c:strRef>
              <c:f>'CALCULATION- DÀI'!$C$3:$C$4</c:f>
              <c:strCache>
                <c:ptCount val="1"/>
                <c:pt idx="0">
                  <c:v>HCM</c:v>
                </c:pt>
              </c:strCache>
            </c:strRef>
          </c:tx>
          <c:spPr>
            <a:ln w="28575" cap="rnd">
              <a:solidFill>
                <a:schemeClr val="accent2"/>
              </a:solidFill>
              <a:round/>
            </a:ln>
            <a:effectLst/>
          </c:spPr>
          <c:marker>
            <c:symbol val="none"/>
          </c:marker>
          <c:dPt>
            <c:idx val="0"/>
            <c:marker>
              <c:symbol val="none"/>
            </c:marker>
            <c:bubble3D val="0"/>
          </c:dPt>
          <c:dPt>
            <c:idx val="1"/>
            <c:marker>
              <c:symbol val="none"/>
            </c:marker>
            <c:bubble3D val="0"/>
          </c:dPt>
          <c:dPt>
            <c:idx val="2"/>
            <c:marker>
              <c:symbol val="none"/>
            </c:marker>
            <c:bubble3D val="0"/>
          </c:dPt>
          <c:dLbls>
            <c:dLbl>
              <c:idx val="0"/>
              <c:layout>
                <c:manualLayout>
                  <c:x val="-9.1666666666666688E-2"/>
                  <c:y val="-2.7777777777777783E-2"/>
                </c:manualLayout>
              </c:layout>
              <c:showLegendKey val="0"/>
              <c:showVal val="0"/>
              <c:showCatName val="0"/>
              <c:showSerName val="1"/>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2"/>
                    </a:solidFill>
                    <a:latin typeface="UTM Helve" panose="02040603050506020204" pitchFamily="18" charset="0"/>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DÀI'!$A$5:$A$10</c:f>
              <c:strCache>
                <c:ptCount val="5"/>
                <c:pt idx="0">
                  <c:v>4</c:v>
                </c:pt>
                <c:pt idx="1">
                  <c:v>5</c:v>
                </c:pt>
                <c:pt idx="2">
                  <c:v>6</c:v>
                </c:pt>
                <c:pt idx="3">
                  <c:v>7</c:v>
                </c:pt>
                <c:pt idx="4">
                  <c:v>8</c:v>
                </c:pt>
              </c:strCache>
            </c:strRef>
          </c:cat>
          <c:val>
            <c:numRef>
              <c:f>'CALCULATION- DÀI'!$C$5:$C$10</c:f>
              <c:numCache>
                <c:formatCode>_(* #,##0.00_);_(* \(#,##0.00\);_(* "-"??_);_(@_)</c:formatCode>
                <c:ptCount val="5"/>
                <c:pt idx="0">
                  <c:v>758008282.81868291</c:v>
                </c:pt>
                <c:pt idx="1">
                  <c:v>631720715.50957608</c:v>
                </c:pt>
                <c:pt idx="2">
                  <c:v>468671972.097956</c:v>
                </c:pt>
                <c:pt idx="3">
                  <c:v>391101000</c:v>
                </c:pt>
                <c:pt idx="4">
                  <c:v>537030000</c:v>
                </c:pt>
              </c:numCache>
            </c:numRef>
          </c:val>
          <c:smooth val="0"/>
          <c:extLst>
            <c:ext xmlns:c16="http://schemas.microsoft.com/office/drawing/2014/chart" uri="{C3380CC4-5D6E-409C-BE32-E72D297353CC}">
              <c16:uniqueId val="{00000008-E096-4CBD-979A-336C2FC71B12}"/>
            </c:ext>
          </c:extLst>
        </c:ser>
        <c:ser>
          <c:idx val="2"/>
          <c:order val="2"/>
          <c:tx>
            <c:strRef>
              <c:f>'CALCULATION- DÀI'!$D$3:$D$4</c:f>
              <c:strCache>
                <c:ptCount val="1"/>
                <c:pt idx="0">
                  <c:v>HN</c:v>
                </c:pt>
              </c:strCache>
            </c:strRef>
          </c:tx>
          <c:spPr>
            <a:ln w="28575" cap="rnd">
              <a:solidFill>
                <a:schemeClr val="accent5">
                  <a:lumMod val="75000"/>
                </a:schemeClr>
              </a:solidFill>
              <a:round/>
            </a:ln>
            <a:effectLst/>
          </c:spPr>
          <c:marker>
            <c:symbol val="none"/>
          </c:marker>
          <c:dPt>
            <c:idx val="1"/>
            <c:marker>
              <c:symbol val="none"/>
            </c:marker>
            <c:bubble3D val="0"/>
          </c:dPt>
          <c:dPt>
            <c:idx val="2"/>
            <c:marker>
              <c:symbol val="none"/>
            </c:marker>
            <c:bubble3D val="0"/>
          </c:dPt>
          <c:dLbls>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DÀI'!$A$5:$A$10</c:f>
              <c:strCache>
                <c:ptCount val="5"/>
                <c:pt idx="0">
                  <c:v>4</c:v>
                </c:pt>
                <c:pt idx="1">
                  <c:v>5</c:v>
                </c:pt>
                <c:pt idx="2">
                  <c:v>6</c:v>
                </c:pt>
                <c:pt idx="3">
                  <c:v>7</c:v>
                </c:pt>
                <c:pt idx="4">
                  <c:v>8</c:v>
                </c:pt>
              </c:strCache>
            </c:strRef>
          </c:cat>
          <c:val>
            <c:numRef>
              <c:f>'CALCULATION- DÀI'!$D$5:$D$10</c:f>
              <c:numCache>
                <c:formatCode>_(* #,##0.00_);_(* \(#,##0.00\);_(* "-"??_);_(@_)</c:formatCode>
                <c:ptCount val="5"/>
                <c:pt idx="0">
                  <c:v>221062000</c:v>
                </c:pt>
                <c:pt idx="1">
                  <c:v>360541000</c:v>
                </c:pt>
                <c:pt idx="2">
                  <c:v>84714000</c:v>
                </c:pt>
                <c:pt idx="3">
                  <c:v>289328000</c:v>
                </c:pt>
                <c:pt idx="4">
                  <c:v>271141000</c:v>
                </c:pt>
              </c:numCache>
            </c:numRef>
          </c:val>
          <c:smooth val="0"/>
          <c:extLst>
            <c:ext xmlns:c16="http://schemas.microsoft.com/office/drawing/2014/chart" uri="{C3380CC4-5D6E-409C-BE32-E72D297353CC}">
              <c16:uniqueId val="{00000009-E096-4CBD-979A-336C2FC71B12}"/>
            </c:ext>
          </c:extLst>
        </c:ser>
        <c:dLbls>
          <c:showLegendKey val="0"/>
          <c:showVal val="0"/>
          <c:showCatName val="0"/>
          <c:showSerName val="0"/>
          <c:showPercent val="0"/>
          <c:showBubbleSize val="0"/>
        </c:dLbls>
        <c:smooth val="0"/>
        <c:axId val="472973167"/>
        <c:axId val="472982287"/>
      </c:lineChart>
      <c:catAx>
        <c:axId val="472973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472982287"/>
        <c:crosses val="autoZero"/>
        <c:auto val="1"/>
        <c:lblAlgn val="ctr"/>
        <c:lblOffset val="100"/>
        <c:noMultiLvlLbl val="0"/>
      </c:catAx>
      <c:valAx>
        <c:axId val="472982287"/>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472973167"/>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 DAV Transportation Cost.xlsm]CALCULATION- DÀI!tỉ lệ- dài</c:name>
    <c:fmtId val="2"/>
  </c:pivotSource>
  <c:chart>
    <c:title>
      <c:tx>
        <c:rich>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r>
              <a:rPr lang="en-US" sz="1600" b="0">
                <a:solidFill>
                  <a:schemeClr val="accent5">
                    <a:lumMod val="50000"/>
                  </a:schemeClr>
                </a:solidFill>
                <a:latin typeface="UTM Bebas" panose="02040603050506020204" pitchFamily="18" charset="0"/>
              </a:rPr>
              <a:t>RATIO</a:t>
            </a:r>
            <a:r>
              <a:rPr lang="en-US" sz="1600" b="0" baseline="0">
                <a:solidFill>
                  <a:schemeClr val="accent5">
                    <a:lumMod val="50000"/>
                  </a:schemeClr>
                </a:solidFill>
                <a:latin typeface="UTM Bebas" panose="02040603050506020204" pitchFamily="18" charset="0"/>
              </a:rPr>
              <a:t> Vendor USING</a:t>
            </a:r>
            <a:endParaRPr lang="en-US" sz="1600" b="0">
              <a:solidFill>
                <a:schemeClr val="accent5">
                  <a:lumMod val="50000"/>
                </a:schemeClr>
              </a:solidFill>
              <a:latin typeface="UTM Bebas" panose="02040603050506020204" pitchFamily="18" charset="0"/>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separator> </c:separator>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separator> </c:separator>
          <c:extLst>
            <c:ext xmlns:c15="http://schemas.microsoft.com/office/drawing/2012/chart" uri="{CE6537A1-D6FC-4f65-9D91-7224C49458BB}"/>
          </c:extLst>
        </c:dLbl>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
        <c:spPr>
          <a:solidFill>
            <a:schemeClr val="accent2"/>
          </a:solidFill>
          <a:ln w="9525">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2"/>
        <c:spPr>
          <a:solidFill>
            <a:schemeClr val="accent2"/>
          </a:solidFill>
          <a:ln w="9525">
            <a:solidFill>
              <a:srgbClr val="002060"/>
            </a:solidFill>
          </a:ln>
          <a:effectLst/>
        </c:spPr>
        <c:dLbl>
          <c:idx val="0"/>
          <c:layout>
            <c:manualLayout>
              <c:x val="5.0293456672316536E-2"/>
              <c:y val="-7.8641531836215112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3"/>
        <c:spPr>
          <a:solidFill>
            <a:schemeClr val="accent5">
              <a:lumMod val="60000"/>
              <a:lumOff val="40000"/>
            </a:schemeClr>
          </a:solidFill>
          <a:ln w="9525">
            <a:solidFill>
              <a:srgbClr val="002060"/>
            </a:solidFill>
          </a:ln>
          <a:effectLst/>
        </c:spPr>
        <c:dLbl>
          <c:idx val="0"/>
          <c:layout>
            <c:manualLayout>
              <c:x val="5.0444115650559729E-2"/>
              <c:y val="-0.12515019208983125"/>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4"/>
        <c:spPr>
          <a:solidFill>
            <a:schemeClr val="accent2"/>
          </a:solidFill>
          <a:ln w="9525">
            <a:solidFill>
              <a:srgbClr val="002060"/>
            </a:solidFill>
          </a:ln>
          <a:effectLst/>
        </c:spPr>
        <c:dLbl>
          <c:idx val="0"/>
          <c:layout>
            <c:manualLayout>
              <c:x val="8.0289133904123858E-2"/>
              <c:y val="-9.5513673418505474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5"/>
        <c:spPr>
          <a:solidFill>
            <a:srgbClr val="00B0F0"/>
          </a:solidFill>
          <a:ln w="9525">
            <a:solidFill>
              <a:srgbClr val="002060"/>
            </a:solidFill>
          </a:ln>
          <a:effectLst/>
        </c:spPr>
        <c:dLbl>
          <c:idx val="0"/>
          <c:layout>
            <c:manualLayout>
              <c:x val="-5.5614364048377695E-3"/>
              <c:y val="3.4473192718234166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6"/>
        <c:spPr>
          <a:solidFill>
            <a:schemeClr val="accent2"/>
          </a:solidFill>
          <a:ln w="9525">
            <a:solidFill>
              <a:srgbClr val="002060"/>
            </a:solidFill>
          </a:ln>
          <a:effectLst/>
        </c:spPr>
        <c:dLbl>
          <c:idx val="0"/>
          <c:layout>
            <c:manualLayout>
              <c:x val="-4.4857550182890858E-2"/>
              <c:y val="0.16277927059612518"/>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7"/>
        <c:spPr>
          <a:solidFill>
            <a:schemeClr val="accent2"/>
          </a:solidFill>
          <a:ln w="9525">
            <a:solidFill>
              <a:srgbClr val="002060"/>
            </a:solidFill>
          </a:ln>
          <a:effectLst/>
        </c:spPr>
        <c:dLbl>
          <c:idx val="0"/>
          <c:layout>
            <c:manualLayout>
              <c:x val="-6.1688378695507133E-2"/>
              <c:y val="-5.7720228850266411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8"/>
        <c:spPr>
          <a:solidFill>
            <a:srgbClr val="92D050"/>
          </a:solidFill>
          <a:ln w="9525">
            <a:solidFill>
              <a:srgbClr val="002060"/>
            </a:solidFill>
          </a:ln>
          <a:effectLst/>
        </c:spPr>
        <c:dLbl>
          <c:idx val="0"/>
          <c:layout>
            <c:manualLayout>
              <c:x val="-4.5324806122720829E-2"/>
              <c:y val="8.4853112569599834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9"/>
        <c:spPr>
          <a:solidFill>
            <a:schemeClr val="accent2"/>
          </a:solidFill>
          <a:ln w="9525">
            <a:solidFill>
              <a:srgbClr val="002060"/>
            </a:solidFill>
          </a:ln>
          <a:effectLst/>
        </c:spPr>
        <c:dLbl>
          <c:idx val="0"/>
          <c:layout>
            <c:manualLayout>
              <c:x val="-8.7976506487618313E-3"/>
              <c:y val="-1.5823539396682726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pieChart>
        <c:varyColors val="1"/>
        <c:ser>
          <c:idx val="0"/>
          <c:order val="0"/>
          <c:tx>
            <c:strRef>
              <c:f>'CALCULATION- DÀI'!$B$78</c:f>
              <c:strCache>
                <c:ptCount val="1"/>
                <c:pt idx="0">
                  <c:v>Total</c:v>
                </c:pt>
              </c:strCache>
            </c:strRef>
          </c:tx>
          <c:spPr>
            <a:ln w="9525">
              <a:solidFill>
                <a:srgbClr val="002060"/>
              </a:solidFill>
            </a:ln>
          </c:spPr>
          <c:dPt>
            <c:idx val="0"/>
            <c:bubble3D val="0"/>
            <c:explosion val="5"/>
            <c:spPr>
              <a:solidFill>
                <a:schemeClr val="accent2"/>
              </a:solidFill>
              <a:ln w="9525">
                <a:solidFill>
                  <a:srgbClr val="002060"/>
                </a:solidFill>
              </a:ln>
              <a:effectLst/>
            </c:spPr>
            <c:extLst>
              <c:ext xmlns:c16="http://schemas.microsoft.com/office/drawing/2014/chart" uri="{C3380CC4-5D6E-409C-BE32-E72D297353CC}">
                <c16:uniqueId val="{00000001-71D4-47A0-87F4-01A9B91F0BD1}"/>
              </c:ext>
            </c:extLst>
          </c:dPt>
          <c:dPt>
            <c:idx val="1"/>
            <c:bubble3D val="0"/>
            <c:explosion val="21"/>
            <c:spPr>
              <a:solidFill>
                <a:schemeClr val="accent5">
                  <a:lumMod val="60000"/>
                  <a:lumOff val="40000"/>
                </a:schemeClr>
              </a:solidFill>
              <a:ln w="9525">
                <a:solidFill>
                  <a:srgbClr val="002060"/>
                </a:solidFill>
              </a:ln>
              <a:effectLst/>
            </c:spPr>
            <c:extLst>
              <c:ext xmlns:c16="http://schemas.microsoft.com/office/drawing/2014/chart" uri="{C3380CC4-5D6E-409C-BE32-E72D297353CC}">
                <c16:uniqueId val="{00000003-71D4-47A0-87F4-01A9B91F0BD1}"/>
              </c:ext>
            </c:extLst>
          </c:dPt>
          <c:dPt>
            <c:idx val="2"/>
            <c:bubble3D val="0"/>
            <c:explosion val="19"/>
            <c:spPr>
              <a:solidFill>
                <a:schemeClr val="accent6"/>
              </a:solidFill>
              <a:ln w="9525">
                <a:solidFill>
                  <a:srgbClr val="002060"/>
                </a:solidFill>
              </a:ln>
              <a:effectLst/>
            </c:spPr>
            <c:extLst>
              <c:ext xmlns:c16="http://schemas.microsoft.com/office/drawing/2014/chart" uri="{C3380CC4-5D6E-409C-BE32-E72D297353CC}">
                <c16:uniqueId val="{00000005-71D4-47A0-87F4-01A9B91F0BD1}"/>
              </c:ext>
            </c:extLst>
          </c:dPt>
          <c:dPt>
            <c:idx val="3"/>
            <c:bubble3D val="0"/>
            <c:explosion val="13"/>
            <c:spPr>
              <a:solidFill>
                <a:srgbClr val="00B0F0"/>
              </a:solidFill>
              <a:ln w="9525">
                <a:solidFill>
                  <a:srgbClr val="002060"/>
                </a:solidFill>
              </a:ln>
              <a:effectLst/>
            </c:spPr>
            <c:extLst>
              <c:ext xmlns:c16="http://schemas.microsoft.com/office/drawing/2014/chart" uri="{C3380CC4-5D6E-409C-BE32-E72D297353CC}">
                <c16:uniqueId val="{00000007-71D4-47A0-87F4-01A9B91F0BD1}"/>
              </c:ext>
            </c:extLst>
          </c:dPt>
          <c:dPt>
            <c:idx val="4"/>
            <c:bubble3D val="0"/>
            <c:explosion val="21"/>
            <c:spPr>
              <a:solidFill>
                <a:schemeClr val="accent4">
                  <a:lumMod val="60000"/>
                </a:schemeClr>
              </a:solidFill>
              <a:ln w="9525">
                <a:solidFill>
                  <a:srgbClr val="002060"/>
                </a:solidFill>
              </a:ln>
              <a:effectLst/>
            </c:spPr>
            <c:extLst>
              <c:ext xmlns:c16="http://schemas.microsoft.com/office/drawing/2014/chart" uri="{C3380CC4-5D6E-409C-BE32-E72D297353CC}">
                <c16:uniqueId val="{00000009-71D4-47A0-87F4-01A9B91F0BD1}"/>
              </c:ext>
            </c:extLst>
          </c:dPt>
          <c:dPt>
            <c:idx val="5"/>
            <c:bubble3D val="0"/>
            <c:explosion val="5"/>
            <c:spPr>
              <a:solidFill>
                <a:schemeClr val="accent6">
                  <a:lumMod val="60000"/>
                </a:schemeClr>
              </a:solidFill>
              <a:ln w="9525">
                <a:solidFill>
                  <a:srgbClr val="002060"/>
                </a:solidFill>
              </a:ln>
              <a:effectLst/>
            </c:spPr>
            <c:extLst>
              <c:ext xmlns:c16="http://schemas.microsoft.com/office/drawing/2014/chart" uri="{C3380CC4-5D6E-409C-BE32-E72D297353CC}">
                <c16:uniqueId val="{0000000B-71D4-47A0-87F4-01A9B91F0BD1}"/>
              </c:ext>
            </c:extLst>
          </c:dPt>
          <c:dPt>
            <c:idx val="6"/>
            <c:bubble3D val="0"/>
            <c:explosion val="7"/>
            <c:spPr>
              <a:solidFill>
                <a:srgbClr val="92D050"/>
              </a:solidFill>
              <a:ln w="9525">
                <a:solidFill>
                  <a:srgbClr val="002060"/>
                </a:solidFill>
              </a:ln>
              <a:effectLst/>
            </c:spPr>
            <c:extLst>
              <c:ext xmlns:c16="http://schemas.microsoft.com/office/drawing/2014/chart" uri="{C3380CC4-5D6E-409C-BE32-E72D297353CC}">
                <c16:uniqueId val="{0000000D-71D4-47A0-87F4-01A9B91F0BD1}"/>
              </c:ext>
            </c:extLst>
          </c:dPt>
          <c:dPt>
            <c:idx val="7"/>
            <c:bubble3D val="0"/>
            <c:explosion val="14"/>
            <c:spPr>
              <a:solidFill>
                <a:schemeClr val="accent4">
                  <a:lumMod val="80000"/>
                  <a:lumOff val="20000"/>
                </a:schemeClr>
              </a:solidFill>
              <a:ln w="9525">
                <a:solidFill>
                  <a:srgbClr val="002060"/>
                </a:solidFill>
              </a:ln>
              <a:effectLst/>
            </c:spPr>
            <c:extLst>
              <c:ext xmlns:c16="http://schemas.microsoft.com/office/drawing/2014/chart" uri="{C3380CC4-5D6E-409C-BE32-E72D297353CC}">
                <c16:uniqueId val="{0000000F-71D4-47A0-87F4-01A9B91F0BD1}"/>
              </c:ext>
            </c:extLst>
          </c:dPt>
          <c:dLbls>
            <c:dLbl>
              <c:idx val="0"/>
              <c:layout>
                <c:manualLayout>
                  <c:x val="5.0293456672316536E-2"/>
                  <c:y val="-7.864153183621511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71D4-47A0-87F4-01A9B91F0BD1}"/>
                </c:ext>
              </c:extLst>
            </c:dLbl>
            <c:dLbl>
              <c:idx val="1"/>
              <c:layout>
                <c:manualLayout>
                  <c:x val="5.0444115650559729E-2"/>
                  <c:y val="-0.1251501920898312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71D4-47A0-87F4-01A9B91F0BD1}"/>
                </c:ext>
              </c:extLst>
            </c:dLbl>
            <c:dLbl>
              <c:idx val="2"/>
              <c:layout>
                <c:manualLayout>
                  <c:x val="8.0289133904123858E-2"/>
                  <c:y val="-9.5513673418505474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71D4-47A0-87F4-01A9B91F0BD1}"/>
                </c:ext>
              </c:extLst>
            </c:dLbl>
            <c:dLbl>
              <c:idx val="3"/>
              <c:layout>
                <c:manualLayout>
                  <c:x val="-5.5614364048377695E-3"/>
                  <c:y val="3.4473192718234166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71D4-47A0-87F4-01A9B91F0BD1}"/>
                </c:ext>
              </c:extLst>
            </c:dLbl>
            <c:dLbl>
              <c:idx val="4"/>
              <c:layout>
                <c:manualLayout>
                  <c:x val="-4.4857550182890858E-2"/>
                  <c:y val="0.16277927059612518"/>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71D4-47A0-87F4-01A9B91F0BD1}"/>
                </c:ext>
              </c:extLst>
            </c:dLbl>
            <c:dLbl>
              <c:idx val="5"/>
              <c:layout>
                <c:manualLayout>
                  <c:x val="-6.1688378695507133E-2"/>
                  <c:y val="-5.7720228850266411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71D4-47A0-87F4-01A9B91F0BD1}"/>
                </c:ext>
              </c:extLst>
            </c:dLbl>
            <c:dLbl>
              <c:idx val="6"/>
              <c:layout>
                <c:manualLayout>
                  <c:x val="-4.5324806122720829E-2"/>
                  <c:y val="8.4853112569599834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71D4-47A0-87F4-01A9B91F0BD1}"/>
                </c:ext>
              </c:extLst>
            </c:dLbl>
            <c:dLbl>
              <c:idx val="7"/>
              <c:layout>
                <c:manualLayout>
                  <c:x val="-8.7976506487618313E-3"/>
                  <c:y val="-1.582353939668272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F-71D4-47A0-87F4-01A9B91F0BD1}"/>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5">
                        <a:lumMod val="50000"/>
                      </a:schemeClr>
                    </a:solidFill>
                    <a:latin typeface="Arial Narrow" panose="020B0606020202030204" pitchFamily="34" charset="0"/>
                    <a:ea typeface="Nirmala Text" panose="020B0502040204020203" pitchFamily="34" charset="0"/>
                    <a:cs typeface="Nirmala Text" panose="020B0502040204020203" pitchFamily="34" charset="0"/>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 DÀI'!$A$79:$A$87</c:f>
              <c:strCache>
                <c:ptCount val="8"/>
                <c:pt idx="0">
                  <c:v>INTERLOG</c:v>
                </c:pt>
                <c:pt idx="1">
                  <c:v>LOGITEM</c:v>
                </c:pt>
                <c:pt idx="2">
                  <c:v>NHAT PHONG VAN</c:v>
                </c:pt>
                <c:pt idx="3">
                  <c:v>NHAT QUANG</c:v>
                </c:pt>
                <c:pt idx="4">
                  <c:v>NHUT LIEN</c:v>
                </c:pt>
                <c:pt idx="5">
                  <c:v>PHUONG ANH</c:v>
                </c:pt>
                <c:pt idx="6">
                  <c:v>THUAN THANH TIN</c:v>
                </c:pt>
                <c:pt idx="7">
                  <c:v>VINAFCO</c:v>
                </c:pt>
              </c:strCache>
            </c:strRef>
          </c:cat>
          <c:val>
            <c:numRef>
              <c:f>'CALCULATION- DÀI'!$B$79:$B$87</c:f>
              <c:numCache>
                <c:formatCode>0.00%</c:formatCode>
                <c:ptCount val="8"/>
                <c:pt idx="0">
                  <c:v>0.22232558524773585</c:v>
                </c:pt>
                <c:pt idx="1">
                  <c:v>6.6176666703524845E-2</c:v>
                </c:pt>
                <c:pt idx="2">
                  <c:v>4.490259031946461E-3</c:v>
                </c:pt>
                <c:pt idx="3">
                  <c:v>3.7565048734589466E-3</c:v>
                </c:pt>
                <c:pt idx="4">
                  <c:v>3.0944241855326107E-3</c:v>
                </c:pt>
                <c:pt idx="5">
                  <c:v>0.4878264203816513</c:v>
                </c:pt>
                <c:pt idx="6">
                  <c:v>0.11083870743199233</c:v>
                </c:pt>
                <c:pt idx="7">
                  <c:v>0.10149143214415758</c:v>
                </c:pt>
              </c:numCache>
            </c:numRef>
          </c:val>
          <c:extLst>
            <c:ext xmlns:c16="http://schemas.microsoft.com/office/drawing/2014/chart" uri="{C3380CC4-5D6E-409C-BE32-E72D297353CC}">
              <c16:uniqueId val="{00000010-71D4-47A0-87F4-01A9B91F0BD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[Dashboard - DAV Transportation Cost.xlsm]CALCULATION- DÀI!KPI- dài</c:name>
    <c:fmtId val="2"/>
  </c:pivotSource>
  <c:chart>
    <c:title>
      <c:tx>
        <c:rich>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r>
              <a:rPr lang="en-US" sz="1600" b="0">
                <a:solidFill>
                  <a:schemeClr val="accent5">
                    <a:lumMod val="50000"/>
                  </a:schemeClr>
                </a:solidFill>
              </a:rPr>
              <a:t>KPI EVALUATION</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lumMod val="75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lumMod val="75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2"/>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6350">
            <a:solidFill>
              <a:srgbClr val="002060"/>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00B05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w="6350">
            <a:solidFill>
              <a:srgbClr val="002060"/>
            </a:solidFill>
          </a:ln>
          <a:effectLst/>
        </c:spPr>
      </c:pivotFmt>
      <c:pivotFmt>
        <c:idx val="13"/>
        <c:spPr>
          <a:solidFill>
            <a:schemeClr val="accent5">
              <a:lumMod val="60000"/>
              <a:lumOff val="40000"/>
            </a:schemeClr>
          </a:solidFill>
          <a:ln w="6350">
            <a:solidFill>
              <a:srgbClr val="002060"/>
            </a:solidFill>
          </a:ln>
          <a:effectLst/>
        </c:spPr>
      </c:pivotFmt>
      <c:pivotFmt>
        <c:idx val="14"/>
        <c:spPr>
          <a:solidFill>
            <a:schemeClr val="tx2">
              <a:lumMod val="60000"/>
              <a:lumOff val="40000"/>
            </a:schemeClr>
          </a:solidFill>
          <a:ln w="6350">
            <a:solidFill>
              <a:srgbClr val="002060"/>
            </a:solidFill>
          </a:ln>
          <a:effectLst/>
        </c:spPr>
      </c:pivotFmt>
      <c:pivotFmt>
        <c:idx val="15"/>
        <c:spPr>
          <a:solidFill>
            <a:srgbClr val="00B0F0"/>
          </a:solidFill>
          <a:ln w="6350">
            <a:solidFill>
              <a:srgbClr val="002060"/>
            </a:solidFill>
          </a:ln>
          <a:effectLst/>
        </c:spPr>
      </c:pivotFmt>
      <c:pivotFmt>
        <c:idx val="16"/>
        <c:spPr>
          <a:solidFill>
            <a:schemeClr val="accent2">
              <a:lumMod val="75000"/>
            </a:schemeClr>
          </a:solidFill>
          <a:ln w="6350">
            <a:solidFill>
              <a:srgbClr val="002060"/>
            </a:solidFill>
          </a:ln>
          <a:effectLst/>
        </c:spPr>
      </c:pivotFmt>
      <c:pivotFmt>
        <c:idx val="17"/>
        <c:spPr>
          <a:solidFill>
            <a:schemeClr val="accent6">
              <a:lumMod val="75000"/>
            </a:schemeClr>
          </a:solidFill>
          <a:ln w="6350">
            <a:solidFill>
              <a:srgbClr val="002060"/>
            </a:solidFill>
          </a:ln>
          <a:effectLst/>
        </c:spPr>
      </c:pivotFmt>
      <c:pivotFmt>
        <c:idx val="18"/>
        <c:spPr>
          <a:solidFill>
            <a:schemeClr val="accent6"/>
          </a:solidFill>
          <a:ln w="6350">
            <a:solidFill>
              <a:srgbClr val="002060"/>
            </a:solidFill>
          </a:ln>
          <a:effectLst/>
        </c:spPr>
      </c:pivotFmt>
      <c:pivotFmt>
        <c:idx val="19"/>
        <c:spPr>
          <a:solidFill>
            <a:srgbClr val="FFC000"/>
          </a:solidFill>
          <a:ln w="6350">
            <a:solidFill>
              <a:srgbClr val="002060"/>
            </a:solidFill>
          </a:ln>
          <a:effectLst/>
        </c:spPr>
      </c:pivotFmt>
      <c:pivotFmt>
        <c:idx val="20"/>
        <c:spPr>
          <a:ln w="28575" cap="rnd">
            <a:solidFill>
              <a:srgbClr val="FF0000"/>
            </a:solidFill>
            <a:prstDash val="dash"/>
            <a:round/>
          </a:ln>
          <a:effectLst/>
        </c:spPr>
        <c:marker>
          <c:symbol val="none"/>
        </c:marker>
      </c:pivotFmt>
    </c:pivotFmts>
    <c:plotArea>
      <c:layout/>
      <c:barChart>
        <c:barDir val="col"/>
        <c:grouping val="clustered"/>
        <c:varyColors val="0"/>
        <c:ser>
          <c:idx val="0"/>
          <c:order val="0"/>
          <c:tx>
            <c:strRef>
              <c:f>'CALCULATION- DÀI'!$B$50</c:f>
              <c:strCache>
                <c:ptCount val="1"/>
                <c:pt idx="0">
                  <c:v>Average of KPI-dài</c:v>
                </c:pt>
              </c:strCache>
            </c:strRef>
          </c:tx>
          <c:spPr>
            <a:solidFill>
              <a:schemeClr val="accent1">
                <a:tint val="58000"/>
              </a:schemeClr>
            </a:solidFill>
            <a:ln w="6350">
              <a:solidFill>
                <a:srgbClr val="002060"/>
              </a:solidFill>
            </a:ln>
            <a:effectLst/>
          </c:spPr>
          <c:invertIfNegative val="0"/>
          <c:dPt>
            <c:idx val="0"/>
            <c:invertIfNegative val="0"/>
            <c:bubble3D val="0"/>
            <c:spPr>
              <a:solidFill>
                <a:schemeClr val="accent2"/>
              </a:solidFill>
              <a:ln w="6350">
                <a:solidFill>
                  <a:srgbClr val="002060"/>
                </a:solidFill>
              </a:ln>
              <a:effectLst/>
            </c:spPr>
            <c:extLst>
              <c:ext xmlns:c16="http://schemas.microsoft.com/office/drawing/2014/chart" uri="{C3380CC4-5D6E-409C-BE32-E72D297353CC}">
                <c16:uniqueId val="{00000000-B2DE-41E6-8A20-37E7E5F78C52}"/>
              </c:ext>
            </c:extLst>
          </c:dPt>
          <c:dPt>
            <c:idx val="1"/>
            <c:invertIfNegative val="0"/>
            <c:bubble3D val="0"/>
            <c:spPr>
              <a:solidFill>
                <a:schemeClr val="accent5">
                  <a:lumMod val="60000"/>
                  <a:lumOff val="40000"/>
                </a:schemeClr>
              </a:solidFill>
              <a:ln w="6350">
                <a:solidFill>
                  <a:srgbClr val="002060"/>
                </a:solidFill>
              </a:ln>
              <a:effectLst/>
            </c:spPr>
            <c:extLst>
              <c:ext xmlns:c16="http://schemas.microsoft.com/office/drawing/2014/chart" uri="{C3380CC4-5D6E-409C-BE32-E72D297353CC}">
                <c16:uniqueId val="{00000001-B2DE-41E6-8A20-37E7E5F78C52}"/>
              </c:ext>
            </c:extLst>
          </c:dPt>
          <c:dPt>
            <c:idx val="2"/>
            <c:invertIfNegative val="0"/>
            <c:bubble3D val="0"/>
            <c:spPr>
              <a:solidFill>
                <a:schemeClr val="tx2">
                  <a:lumMod val="60000"/>
                  <a:lumOff val="40000"/>
                </a:schemeClr>
              </a:solidFill>
              <a:ln w="6350">
                <a:solidFill>
                  <a:srgbClr val="002060"/>
                </a:solidFill>
              </a:ln>
              <a:effectLst/>
            </c:spPr>
            <c:extLst>
              <c:ext xmlns:c16="http://schemas.microsoft.com/office/drawing/2014/chart" uri="{C3380CC4-5D6E-409C-BE32-E72D297353CC}">
                <c16:uniqueId val="{00000005-739C-4D78-9C9E-EB6C0E8651E8}"/>
              </c:ext>
            </c:extLst>
          </c:dPt>
          <c:dPt>
            <c:idx val="3"/>
            <c:invertIfNegative val="0"/>
            <c:bubble3D val="0"/>
            <c:spPr>
              <a:solidFill>
                <a:srgbClr val="00B0F0"/>
              </a:solidFill>
              <a:ln w="6350">
                <a:solidFill>
                  <a:srgbClr val="002060"/>
                </a:solidFill>
              </a:ln>
              <a:effectLst/>
            </c:spPr>
            <c:extLst>
              <c:ext xmlns:c16="http://schemas.microsoft.com/office/drawing/2014/chart" uri="{C3380CC4-5D6E-409C-BE32-E72D297353CC}">
                <c16:uniqueId val="{00000007-739C-4D78-9C9E-EB6C0E8651E8}"/>
              </c:ext>
            </c:extLst>
          </c:dPt>
          <c:dPt>
            <c:idx val="4"/>
            <c:invertIfNegative val="0"/>
            <c:bubble3D val="0"/>
            <c:spPr>
              <a:solidFill>
                <a:schemeClr val="accent2">
                  <a:lumMod val="75000"/>
                </a:schemeClr>
              </a:solidFill>
              <a:ln w="6350">
                <a:solidFill>
                  <a:srgbClr val="002060"/>
                </a:solidFill>
              </a:ln>
              <a:effectLst/>
            </c:spPr>
            <c:extLst>
              <c:ext xmlns:c16="http://schemas.microsoft.com/office/drawing/2014/chart" uri="{C3380CC4-5D6E-409C-BE32-E72D297353CC}">
                <c16:uniqueId val="{00000009-739C-4D78-9C9E-EB6C0E8651E8}"/>
              </c:ext>
            </c:extLst>
          </c:dPt>
          <c:dPt>
            <c:idx val="5"/>
            <c:invertIfNegative val="0"/>
            <c:bubble3D val="0"/>
            <c:spPr>
              <a:solidFill>
                <a:schemeClr val="accent6">
                  <a:lumMod val="75000"/>
                </a:schemeClr>
              </a:solidFill>
              <a:ln w="6350">
                <a:solidFill>
                  <a:srgbClr val="002060"/>
                </a:solidFill>
              </a:ln>
              <a:effectLst/>
            </c:spPr>
            <c:extLst>
              <c:ext xmlns:c16="http://schemas.microsoft.com/office/drawing/2014/chart" uri="{C3380CC4-5D6E-409C-BE32-E72D297353CC}">
                <c16:uniqueId val="{0000000B-6938-4FE0-A0B8-21588B73BD4D}"/>
              </c:ext>
            </c:extLst>
          </c:dPt>
          <c:dPt>
            <c:idx val="6"/>
            <c:invertIfNegative val="0"/>
            <c:bubble3D val="0"/>
            <c:spPr>
              <a:solidFill>
                <a:schemeClr val="accent6"/>
              </a:solidFill>
              <a:ln w="6350">
                <a:solidFill>
                  <a:srgbClr val="002060"/>
                </a:solidFill>
              </a:ln>
              <a:effectLst/>
            </c:spPr>
            <c:extLst>
              <c:ext xmlns:c16="http://schemas.microsoft.com/office/drawing/2014/chart" uri="{C3380CC4-5D6E-409C-BE32-E72D297353CC}">
                <c16:uniqueId val="{0000000D-6938-4FE0-A0B8-21588B73BD4D}"/>
              </c:ext>
            </c:extLst>
          </c:dPt>
          <c:dPt>
            <c:idx val="7"/>
            <c:invertIfNegative val="0"/>
            <c:bubble3D val="0"/>
            <c:spPr>
              <a:solidFill>
                <a:srgbClr val="FFC000"/>
              </a:solidFill>
              <a:ln w="6350">
                <a:solidFill>
                  <a:srgbClr val="002060"/>
                </a:solidFill>
              </a:ln>
              <a:effectLst/>
            </c:spPr>
            <c:extLst>
              <c:ext xmlns:c16="http://schemas.microsoft.com/office/drawing/2014/chart" uri="{C3380CC4-5D6E-409C-BE32-E72D297353CC}">
                <c16:uniqueId val="{0000000F-6938-4FE0-A0B8-21588B73BD4D}"/>
              </c:ext>
            </c:extLst>
          </c:dPt>
          <c:dLbls>
            <c:spPr>
              <a:noFill/>
              <a:ln>
                <a:noFill/>
              </a:ln>
              <a:effectLst/>
            </c:spPr>
            <c:txPr>
              <a:bodyPr rot="0" spcFirstLastPara="1" vertOverflow="ellipsis" vert="horz" wrap="square" anchor="ctr" anchorCtr="1"/>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DÀI'!$A$51:$A$59</c:f>
              <c:strCache>
                <c:ptCount val="8"/>
                <c:pt idx="0">
                  <c:v>INTERLOG</c:v>
                </c:pt>
                <c:pt idx="1">
                  <c:v>LOGITEM</c:v>
                </c:pt>
                <c:pt idx="2">
                  <c:v>NHAT PHONG VAN</c:v>
                </c:pt>
                <c:pt idx="3">
                  <c:v>NHAT QUANG</c:v>
                </c:pt>
                <c:pt idx="4">
                  <c:v>NHUT LIEN</c:v>
                </c:pt>
                <c:pt idx="5">
                  <c:v>PHUONG ANH</c:v>
                </c:pt>
                <c:pt idx="6">
                  <c:v>THUAN THANH TIN</c:v>
                </c:pt>
                <c:pt idx="7">
                  <c:v>VINAFCO</c:v>
                </c:pt>
              </c:strCache>
            </c:strRef>
          </c:cat>
          <c:val>
            <c:numRef>
              <c:f>'CALCULATION- DÀI'!$B$51:$B$59</c:f>
              <c:numCache>
                <c:formatCode>0.0%</c:formatCode>
                <c:ptCount val="8"/>
                <c:pt idx="0">
                  <c:v>0.97994999999999999</c:v>
                </c:pt>
                <c:pt idx="1">
                  <c:v>1</c:v>
                </c:pt>
                <c:pt idx="2">
                  <c:v>0.9</c:v>
                </c:pt>
                <c:pt idx="3">
                  <c:v>1</c:v>
                </c:pt>
                <c:pt idx="4">
                  <c:v>0.93799999999999994</c:v>
                </c:pt>
                <c:pt idx="5">
                  <c:v>0.98426923076923079</c:v>
                </c:pt>
                <c:pt idx="6">
                  <c:v>0.99453999999999998</c:v>
                </c:pt>
                <c:pt idx="7">
                  <c:v>0.98051999999999995</c:v>
                </c:pt>
              </c:numCache>
            </c:numRef>
          </c:val>
          <c:extLst>
            <c:ext xmlns:c16="http://schemas.microsoft.com/office/drawing/2014/chart" uri="{C3380CC4-5D6E-409C-BE32-E72D297353CC}">
              <c16:uniqueId val="{00000000-8F99-45E2-9860-74DFC9EDDBB8}"/>
            </c:ext>
          </c:extLst>
        </c:ser>
        <c:dLbls>
          <c:showLegendKey val="0"/>
          <c:showVal val="0"/>
          <c:showCatName val="0"/>
          <c:showSerName val="0"/>
          <c:showPercent val="0"/>
          <c:showBubbleSize val="0"/>
        </c:dLbls>
        <c:gapWidth val="219"/>
        <c:overlap val="-27"/>
        <c:axId val="472969807"/>
        <c:axId val="472983727"/>
      </c:barChart>
      <c:lineChart>
        <c:grouping val="standard"/>
        <c:varyColors val="0"/>
        <c:ser>
          <c:idx val="1"/>
          <c:order val="1"/>
          <c:tx>
            <c:strRef>
              <c:f>'CALCULATION- DÀI'!$C$50</c:f>
              <c:strCache>
                <c:ptCount val="1"/>
                <c:pt idx="0">
                  <c:v>Excellent</c:v>
                </c:pt>
              </c:strCache>
            </c:strRef>
          </c:tx>
          <c:spPr>
            <a:ln w="28575" cap="rnd">
              <a:solidFill>
                <a:srgbClr val="00B050"/>
              </a:solidFill>
              <a:prstDash val="dash"/>
              <a:round/>
            </a:ln>
            <a:effectLst/>
          </c:spPr>
          <c:marker>
            <c:symbol val="none"/>
          </c:marker>
          <c:cat>
            <c:strRef>
              <c:f>'CALCULATION- DÀI'!$A$51:$A$59</c:f>
              <c:strCache>
                <c:ptCount val="8"/>
                <c:pt idx="0">
                  <c:v>INTERLOG</c:v>
                </c:pt>
                <c:pt idx="1">
                  <c:v>LOGITEM</c:v>
                </c:pt>
                <c:pt idx="2">
                  <c:v>NHAT PHONG VAN</c:v>
                </c:pt>
                <c:pt idx="3">
                  <c:v>NHAT QUANG</c:v>
                </c:pt>
                <c:pt idx="4">
                  <c:v>NHUT LIEN</c:v>
                </c:pt>
                <c:pt idx="5">
                  <c:v>PHUONG ANH</c:v>
                </c:pt>
                <c:pt idx="6">
                  <c:v>THUAN THANH TIN</c:v>
                </c:pt>
                <c:pt idx="7">
                  <c:v>VINAFCO</c:v>
                </c:pt>
              </c:strCache>
            </c:strRef>
          </c:cat>
          <c:val>
            <c:numRef>
              <c:f>'CALCULATION- DÀI'!$C$51:$C$59</c:f>
              <c:numCache>
                <c:formatCode>0.0%</c:formatCode>
                <c:ptCount val="8"/>
                <c:pt idx="0">
                  <c:v>0.95</c:v>
                </c:pt>
                <c:pt idx="1">
                  <c:v>0.95</c:v>
                </c:pt>
                <c:pt idx="2">
                  <c:v>0.95</c:v>
                </c:pt>
                <c:pt idx="3">
                  <c:v>0.95</c:v>
                </c:pt>
                <c:pt idx="4">
                  <c:v>0.95</c:v>
                </c:pt>
                <c:pt idx="5">
                  <c:v>0.95</c:v>
                </c:pt>
                <c:pt idx="6">
                  <c:v>0.95</c:v>
                </c:pt>
                <c:pt idx="7">
                  <c:v>0.95</c:v>
                </c:pt>
              </c:numCache>
            </c:numRef>
          </c:val>
          <c:smooth val="0"/>
          <c:extLst>
            <c:ext xmlns:c16="http://schemas.microsoft.com/office/drawing/2014/chart" uri="{C3380CC4-5D6E-409C-BE32-E72D297353CC}">
              <c16:uniqueId val="{00000001-8F99-45E2-9860-74DFC9EDDBB8}"/>
            </c:ext>
          </c:extLst>
        </c:ser>
        <c:ser>
          <c:idx val="2"/>
          <c:order val="2"/>
          <c:tx>
            <c:strRef>
              <c:f>'CALCULATION- DÀI'!$D$50</c:f>
              <c:strCache>
                <c:ptCount val="1"/>
                <c:pt idx="0">
                  <c:v>Good.</c:v>
                </c:pt>
              </c:strCache>
            </c:strRef>
          </c:tx>
          <c:spPr>
            <a:ln w="28575" cap="rnd">
              <a:solidFill>
                <a:schemeClr val="accent4"/>
              </a:solidFill>
              <a:prstDash val="dash"/>
              <a:round/>
            </a:ln>
            <a:effectLst/>
          </c:spPr>
          <c:marker>
            <c:symbol val="none"/>
          </c:marker>
          <c:cat>
            <c:strRef>
              <c:f>'CALCULATION- DÀI'!$A$51:$A$59</c:f>
              <c:strCache>
                <c:ptCount val="8"/>
                <c:pt idx="0">
                  <c:v>INTERLOG</c:v>
                </c:pt>
                <c:pt idx="1">
                  <c:v>LOGITEM</c:v>
                </c:pt>
                <c:pt idx="2">
                  <c:v>NHAT PHONG VAN</c:v>
                </c:pt>
                <c:pt idx="3">
                  <c:v>NHAT QUANG</c:v>
                </c:pt>
                <c:pt idx="4">
                  <c:v>NHUT LIEN</c:v>
                </c:pt>
                <c:pt idx="5">
                  <c:v>PHUONG ANH</c:v>
                </c:pt>
                <c:pt idx="6">
                  <c:v>THUAN THANH TIN</c:v>
                </c:pt>
                <c:pt idx="7">
                  <c:v>VINAFCO</c:v>
                </c:pt>
              </c:strCache>
            </c:strRef>
          </c:cat>
          <c:val>
            <c:numRef>
              <c:f>'CALCULATION- DÀI'!$D$51:$D$59</c:f>
              <c:numCache>
                <c:formatCode>0.0%</c:formatCode>
                <c:ptCount val="8"/>
                <c:pt idx="0">
                  <c:v>0.9</c:v>
                </c:pt>
                <c:pt idx="1">
                  <c:v>0.9</c:v>
                </c:pt>
                <c:pt idx="2">
                  <c:v>0.9</c:v>
                </c:pt>
                <c:pt idx="3">
                  <c:v>0.9</c:v>
                </c:pt>
                <c:pt idx="4">
                  <c:v>0.9</c:v>
                </c:pt>
                <c:pt idx="5">
                  <c:v>0.9</c:v>
                </c:pt>
                <c:pt idx="6">
                  <c:v>0.9</c:v>
                </c:pt>
                <c:pt idx="7">
                  <c:v>0.9</c:v>
                </c:pt>
              </c:numCache>
            </c:numRef>
          </c:val>
          <c:smooth val="0"/>
          <c:extLst>
            <c:ext xmlns:c16="http://schemas.microsoft.com/office/drawing/2014/chart" uri="{C3380CC4-5D6E-409C-BE32-E72D297353CC}">
              <c16:uniqueId val="{00000002-8F99-45E2-9860-74DFC9EDDBB8}"/>
            </c:ext>
          </c:extLst>
        </c:ser>
        <c:ser>
          <c:idx val="3"/>
          <c:order val="3"/>
          <c:tx>
            <c:strRef>
              <c:f>'CALCULATION- DÀI'!$E$50</c:f>
              <c:strCache>
                <c:ptCount val="1"/>
                <c:pt idx="0">
                  <c:v>Need to improve</c:v>
                </c:pt>
              </c:strCache>
            </c:strRef>
          </c:tx>
          <c:spPr>
            <a:ln w="28575" cap="rnd">
              <a:solidFill>
                <a:srgbClr val="FF0000"/>
              </a:solidFill>
              <a:prstDash val="dash"/>
              <a:round/>
            </a:ln>
            <a:effectLst/>
          </c:spPr>
          <c:marker>
            <c:symbol val="none"/>
          </c:marker>
          <c:cat>
            <c:strRef>
              <c:f>'CALCULATION- DÀI'!$A$51:$A$59</c:f>
              <c:strCache>
                <c:ptCount val="8"/>
                <c:pt idx="0">
                  <c:v>INTERLOG</c:v>
                </c:pt>
                <c:pt idx="1">
                  <c:v>LOGITEM</c:v>
                </c:pt>
                <c:pt idx="2">
                  <c:v>NHAT PHONG VAN</c:v>
                </c:pt>
                <c:pt idx="3">
                  <c:v>NHAT QUANG</c:v>
                </c:pt>
                <c:pt idx="4">
                  <c:v>NHUT LIEN</c:v>
                </c:pt>
                <c:pt idx="5">
                  <c:v>PHUONG ANH</c:v>
                </c:pt>
                <c:pt idx="6">
                  <c:v>THUAN THANH TIN</c:v>
                </c:pt>
                <c:pt idx="7">
                  <c:v>VINAFCO</c:v>
                </c:pt>
              </c:strCache>
            </c:strRef>
          </c:cat>
          <c:val>
            <c:numRef>
              <c:f>'CALCULATION- DÀI'!$E$51:$E$59</c:f>
              <c:numCache>
                <c:formatCode>0.0%</c:formatCode>
                <c:ptCount val="8"/>
                <c:pt idx="0">
                  <c:v>0.85</c:v>
                </c:pt>
                <c:pt idx="1">
                  <c:v>0.85</c:v>
                </c:pt>
                <c:pt idx="2">
                  <c:v>0.85</c:v>
                </c:pt>
                <c:pt idx="3">
                  <c:v>0.85</c:v>
                </c:pt>
                <c:pt idx="4">
                  <c:v>0.85</c:v>
                </c:pt>
                <c:pt idx="5">
                  <c:v>0.85</c:v>
                </c:pt>
                <c:pt idx="6">
                  <c:v>0.85</c:v>
                </c:pt>
                <c:pt idx="7">
                  <c:v>0.85</c:v>
                </c:pt>
              </c:numCache>
            </c:numRef>
          </c:val>
          <c:smooth val="0"/>
          <c:extLst>
            <c:ext xmlns:c16="http://schemas.microsoft.com/office/drawing/2014/chart" uri="{C3380CC4-5D6E-409C-BE32-E72D297353CC}">
              <c16:uniqueId val="{00000003-8F99-45E2-9860-74DFC9EDDBB8}"/>
            </c:ext>
          </c:extLst>
        </c:ser>
        <c:dLbls>
          <c:showLegendKey val="0"/>
          <c:showVal val="0"/>
          <c:showCatName val="0"/>
          <c:showSerName val="0"/>
          <c:showPercent val="0"/>
          <c:showBubbleSize val="0"/>
        </c:dLbls>
        <c:marker val="1"/>
        <c:smooth val="0"/>
        <c:axId val="472969807"/>
        <c:axId val="472983727"/>
      </c:lineChart>
      <c:catAx>
        <c:axId val="472969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crossAx val="472983727"/>
        <c:crosses val="autoZero"/>
        <c:auto val="1"/>
        <c:lblAlgn val="ctr"/>
        <c:lblOffset val="100"/>
        <c:noMultiLvlLbl val="0"/>
      </c:catAx>
      <c:valAx>
        <c:axId val="472983727"/>
        <c:scaling>
          <c:orientation val="minMax"/>
        </c:scaling>
        <c:delete val="1"/>
        <c:axPos val="l"/>
        <c:numFmt formatCode="0.0%" sourceLinked="1"/>
        <c:majorTickMark val="none"/>
        <c:minorTickMark val="none"/>
        <c:tickLblPos val="nextTo"/>
        <c:crossAx val="4729698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solidFill>
            <a:schemeClr val="accent5">
              <a:lumMod val="50000"/>
            </a:schemeClr>
          </a:solidFill>
          <a:latin typeface="UTM Bebas" panose="020406030505060202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[Dashboard - DAV Transportation Cost.xlsm]CALCULATION- LTL!chi phí - LTL</c:name>
    <c:fmtId val="4"/>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 LTL'!$B$24:$B$25</c:f>
              <c:strCache>
                <c:ptCount val="1"/>
                <c:pt idx="0">
                  <c:v>4</c:v>
                </c:pt>
              </c:strCache>
            </c:strRef>
          </c:tx>
          <c:spPr>
            <a:solidFill>
              <a:schemeClr val="accent5">
                <a:tint val="54000"/>
              </a:schemeClr>
            </a:solidFill>
            <a:ln>
              <a:noFill/>
            </a:ln>
            <a:effectLst/>
          </c:spPr>
          <c:invertIfNegative val="0"/>
          <c:cat>
            <c:strRef>
              <c:f>'CALCULATION- LTL'!$A$26:$A$34</c:f>
              <c:strCache>
                <c:ptCount val="8"/>
                <c:pt idx="0">
                  <c:v>CT</c:v>
                </c:pt>
                <c:pt idx="1">
                  <c:v>DN</c:v>
                </c:pt>
                <c:pt idx="2">
                  <c:v>HCM</c:v>
                </c:pt>
                <c:pt idx="3">
                  <c:v>HN</c:v>
                </c:pt>
                <c:pt idx="4">
                  <c:v>HP</c:v>
                </c:pt>
                <c:pt idx="5">
                  <c:v>KH</c:v>
                </c:pt>
                <c:pt idx="6">
                  <c:v>NA</c:v>
                </c:pt>
                <c:pt idx="7">
                  <c:v>PC</c:v>
                </c:pt>
              </c:strCache>
            </c:strRef>
          </c:cat>
          <c:val>
            <c:numRef>
              <c:f>'CALCULATION- LTL'!$B$26:$B$34</c:f>
              <c:numCache>
                <c:formatCode>_(* #,##0.00_);_(* \(#,##0.00\);_(* "-"??_);_(@_)</c:formatCode>
                <c:ptCount val="8"/>
                <c:pt idx="0">
                  <c:v>3225000</c:v>
                </c:pt>
                <c:pt idx="1">
                  <c:v>160250010</c:v>
                </c:pt>
                <c:pt idx="2">
                  <c:v>10844925</c:v>
                </c:pt>
                <c:pt idx="3">
                  <c:v>7590250</c:v>
                </c:pt>
                <c:pt idx="5">
                  <c:v>5652995.7424999997</c:v>
                </c:pt>
                <c:pt idx="6">
                  <c:v>125000</c:v>
                </c:pt>
                <c:pt idx="7">
                  <c:v>634714972</c:v>
                </c:pt>
              </c:numCache>
            </c:numRef>
          </c:val>
          <c:extLst>
            <c:ext xmlns:c16="http://schemas.microsoft.com/office/drawing/2014/chart" uri="{C3380CC4-5D6E-409C-BE32-E72D297353CC}">
              <c16:uniqueId val="{00000000-663F-4272-8F74-684AC027CFAB}"/>
            </c:ext>
          </c:extLst>
        </c:ser>
        <c:ser>
          <c:idx val="1"/>
          <c:order val="1"/>
          <c:tx>
            <c:strRef>
              <c:f>'CALCULATION- LTL'!$C$24:$C$25</c:f>
              <c:strCache>
                <c:ptCount val="1"/>
                <c:pt idx="0">
                  <c:v>5</c:v>
                </c:pt>
              </c:strCache>
            </c:strRef>
          </c:tx>
          <c:spPr>
            <a:solidFill>
              <a:schemeClr val="accent5">
                <a:tint val="77000"/>
              </a:schemeClr>
            </a:solidFill>
            <a:ln>
              <a:noFill/>
            </a:ln>
            <a:effectLst/>
          </c:spPr>
          <c:invertIfNegative val="0"/>
          <c:cat>
            <c:strRef>
              <c:f>'CALCULATION- LTL'!$A$26:$A$34</c:f>
              <c:strCache>
                <c:ptCount val="8"/>
                <c:pt idx="0">
                  <c:v>CT</c:v>
                </c:pt>
                <c:pt idx="1">
                  <c:v>DN</c:v>
                </c:pt>
                <c:pt idx="2">
                  <c:v>HCM</c:v>
                </c:pt>
                <c:pt idx="3">
                  <c:v>HN</c:v>
                </c:pt>
                <c:pt idx="4">
                  <c:v>HP</c:v>
                </c:pt>
                <c:pt idx="5">
                  <c:v>KH</c:v>
                </c:pt>
                <c:pt idx="6">
                  <c:v>NA</c:v>
                </c:pt>
                <c:pt idx="7">
                  <c:v>PC</c:v>
                </c:pt>
              </c:strCache>
            </c:strRef>
          </c:cat>
          <c:val>
            <c:numRef>
              <c:f>'CALCULATION- LTL'!$C$26:$C$34</c:f>
              <c:numCache>
                <c:formatCode>_(* #,##0.00_);_(* \(#,##0.00\);_(* "-"??_);_(@_)</c:formatCode>
                <c:ptCount val="8"/>
                <c:pt idx="0">
                  <c:v>26617485</c:v>
                </c:pt>
                <c:pt idx="1">
                  <c:v>153695583</c:v>
                </c:pt>
                <c:pt idx="2">
                  <c:v>18032675.510280728</c:v>
                </c:pt>
                <c:pt idx="4">
                  <c:v>2452000</c:v>
                </c:pt>
                <c:pt idx="5">
                  <c:v>4879320.3125</c:v>
                </c:pt>
                <c:pt idx="7">
                  <c:v>878704408</c:v>
                </c:pt>
              </c:numCache>
            </c:numRef>
          </c:val>
          <c:extLst>
            <c:ext xmlns:c16="http://schemas.microsoft.com/office/drawing/2014/chart" uri="{C3380CC4-5D6E-409C-BE32-E72D297353CC}">
              <c16:uniqueId val="{00000002-01DC-4201-9379-8F7D63E75B3B}"/>
            </c:ext>
          </c:extLst>
        </c:ser>
        <c:ser>
          <c:idx val="2"/>
          <c:order val="2"/>
          <c:tx>
            <c:strRef>
              <c:f>'CALCULATION- LTL'!$D$24:$D$25</c:f>
              <c:strCache>
                <c:ptCount val="1"/>
                <c:pt idx="0">
                  <c:v>6</c:v>
                </c:pt>
              </c:strCache>
            </c:strRef>
          </c:tx>
          <c:spPr>
            <a:solidFill>
              <a:schemeClr val="accent5"/>
            </a:solidFill>
            <a:ln>
              <a:noFill/>
            </a:ln>
            <a:effectLst/>
          </c:spPr>
          <c:invertIfNegative val="0"/>
          <c:cat>
            <c:strRef>
              <c:f>'CALCULATION- LTL'!$A$26:$A$34</c:f>
              <c:strCache>
                <c:ptCount val="8"/>
                <c:pt idx="0">
                  <c:v>CT</c:v>
                </c:pt>
                <c:pt idx="1">
                  <c:v>DN</c:v>
                </c:pt>
                <c:pt idx="2">
                  <c:v>HCM</c:v>
                </c:pt>
                <c:pt idx="3">
                  <c:v>HN</c:v>
                </c:pt>
                <c:pt idx="4">
                  <c:v>HP</c:v>
                </c:pt>
                <c:pt idx="5">
                  <c:v>KH</c:v>
                </c:pt>
                <c:pt idx="6">
                  <c:v>NA</c:v>
                </c:pt>
                <c:pt idx="7">
                  <c:v>PC</c:v>
                </c:pt>
              </c:strCache>
            </c:strRef>
          </c:cat>
          <c:val>
            <c:numRef>
              <c:f>'CALCULATION- LTL'!$D$26:$D$34</c:f>
              <c:numCache>
                <c:formatCode>_(* #,##0.00_);_(* \(#,##0.00\);_(* "-"??_);_(@_)</c:formatCode>
                <c:ptCount val="8"/>
                <c:pt idx="0">
                  <c:v>12824102.5</c:v>
                </c:pt>
                <c:pt idx="1">
                  <c:v>115969368</c:v>
                </c:pt>
                <c:pt idx="2">
                  <c:v>16749259.125866666</c:v>
                </c:pt>
                <c:pt idx="3">
                  <c:v>58334100</c:v>
                </c:pt>
                <c:pt idx="4">
                  <c:v>577800</c:v>
                </c:pt>
                <c:pt idx="5">
                  <c:v>5441734</c:v>
                </c:pt>
                <c:pt idx="7">
                  <c:v>811718662</c:v>
                </c:pt>
              </c:numCache>
            </c:numRef>
          </c:val>
          <c:extLst>
            <c:ext xmlns:c16="http://schemas.microsoft.com/office/drawing/2014/chart" uri="{C3380CC4-5D6E-409C-BE32-E72D297353CC}">
              <c16:uniqueId val="{00000003-01DC-4201-9379-8F7D63E75B3B}"/>
            </c:ext>
          </c:extLst>
        </c:ser>
        <c:ser>
          <c:idx val="3"/>
          <c:order val="3"/>
          <c:tx>
            <c:strRef>
              <c:f>'CALCULATION- LTL'!$E$24:$E$25</c:f>
              <c:strCache>
                <c:ptCount val="1"/>
                <c:pt idx="0">
                  <c:v>7</c:v>
                </c:pt>
              </c:strCache>
            </c:strRef>
          </c:tx>
          <c:spPr>
            <a:solidFill>
              <a:schemeClr val="accent5">
                <a:shade val="76000"/>
              </a:schemeClr>
            </a:solidFill>
            <a:ln>
              <a:noFill/>
            </a:ln>
            <a:effectLst/>
          </c:spPr>
          <c:invertIfNegative val="0"/>
          <c:cat>
            <c:strRef>
              <c:f>'CALCULATION- LTL'!$A$26:$A$34</c:f>
              <c:strCache>
                <c:ptCount val="8"/>
                <c:pt idx="0">
                  <c:v>CT</c:v>
                </c:pt>
                <c:pt idx="1">
                  <c:v>DN</c:v>
                </c:pt>
                <c:pt idx="2">
                  <c:v>HCM</c:v>
                </c:pt>
                <c:pt idx="3">
                  <c:v>HN</c:v>
                </c:pt>
                <c:pt idx="4">
                  <c:v>HP</c:v>
                </c:pt>
                <c:pt idx="5">
                  <c:v>KH</c:v>
                </c:pt>
                <c:pt idx="6">
                  <c:v>NA</c:v>
                </c:pt>
                <c:pt idx="7">
                  <c:v>PC</c:v>
                </c:pt>
              </c:strCache>
            </c:strRef>
          </c:cat>
          <c:val>
            <c:numRef>
              <c:f>'CALCULATION- LTL'!$E$26:$E$34</c:f>
              <c:numCache>
                <c:formatCode>_(* #,##0.00_);_(* \(#,##0.00\);_(* "-"??_);_(@_)</c:formatCode>
                <c:ptCount val="8"/>
                <c:pt idx="0">
                  <c:v>22168279</c:v>
                </c:pt>
                <c:pt idx="1">
                  <c:v>85111742</c:v>
                </c:pt>
                <c:pt idx="2">
                  <c:v>19140293.666666668</c:v>
                </c:pt>
                <c:pt idx="3">
                  <c:v>5468198</c:v>
                </c:pt>
                <c:pt idx="5">
                  <c:v>15548665</c:v>
                </c:pt>
                <c:pt idx="7">
                  <c:v>929579518</c:v>
                </c:pt>
              </c:numCache>
            </c:numRef>
          </c:val>
          <c:extLst>
            <c:ext xmlns:c16="http://schemas.microsoft.com/office/drawing/2014/chart" uri="{C3380CC4-5D6E-409C-BE32-E72D297353CC}">
              <c16:uniqueId val="{00000004-01DC-4201-9379-8F7D63E75B3B}"/>
            </c:ext>
          </c:extLst>
        </c:ser>
        <c:ser>
          <c:idx val="4"/>
          <c:order val="4"/>
          <c:tx>
            <c:strRef>
              <c:f>'CALCULATION- LTL'!$F$24:$F$25</c:f>
              <c:strCache>
                <c:ptCount val="1"/>
                <c:pt idx="0">
                  <c:v>8</c:v>
                </c:pt>
              </c:strCache>
            </c:strRef>
          </c:tx>
          <c:spPr>
            <a:solidFill>
              <a:schemeClr val="accent5">
                <a:shade val="53000"/>
              </a:schemeClr>
            </a:solidFill>
            <a:ln>
              <a:noFill/>
            </a:ln>
            <a:effectLst/>
          </c:spPr>
          <c:invertIfNegative val="0"/>
          <c:cat>
            <c:strRef>
              <c:f>'CALCULATION- LTL'!$A$26:$A$34</c:f>
              <c:strCache>
                <c:ptCount val="8"/>
                <c:pt idx="0">
                  <c:v>CT</c:v>
                </c:pt>
                <c:pt idx="1">
                  <c:v>DN</c:v>
                </c:pt>
                <c:pt idx="2">
                  <c:v>HCM</c:v>
                </c:pt>
                <c:pt idx="3">
                  <c:v>HN</c:v>
                </c:pt>
                <c:pt idx="4">
                  <c:v>HP</c:v>
                </c:pt>
                <c:pt idx="5">
                  <c:v>KH</c:v>
                </c:pt>
                <c:pt idx="6">
                  <c:v>NA</c:v>
                </c:pt>
                <c:pt idx="7">
                  <c:v>PC</c:v>
                </c:pt>
              </c:strCache>
            </c:strRef>
          </c:cat>
          <c:val>
            <c:numRef>
              <c:f>'CALCULATION- LTL'!$F$26:$F$34</c:f>
              <c:numCache>
                <c:formatCode>_(* #,##0.00_);_(* \(#,##0.00\);_(* "-"??_);_(@_)</c:formatCode>
                <c:ptCount val="8"/>
                <c:pt idx="0">
                  <c:v>21612541</c:v>
                </c:pt>
                <c:pt idx="1">
                  <c:v>86707552.99999997</c:v>
                </c:pt>
                <c:pt idx="2">
                  <c:v>34801635</c:v>
                </c:pt>
                <c:pt idx="3">
                  <c:v>5164500</c:v>
                </c:pt>
                <c:pt idx="4">
                  <c:v>1181105</c:v>
                </c:pt>
                <c:pt idx="5">
                  <c:v>11639067</c:v>
                </c:pt>
                <c:pt idx="6">
                  <c:v>425850</c:v>
                </c:pt>
                <c:pt idx="7">
                  <c:v>664305514</c:v>
                </c:pt>
              </c:numCache>
            </c:numRef>
          </c:val>
          <c:extLst>
            <c:ext xmlns:c16="http://schemas.microsoft.com/office/drawing/2014/chart" uri="{C3380CC4-5D6E-409C-BE32-E72D297353CC}">
              <c16:uniqueId val="{00000005-01DC-4201-9379-8F7D63E75B3B}"/>
            </c:ext>
          </c:extLst>
        </c:ser>
        <c:dLbls>
          <c:showLegendKey val="0"/>
          <c:showVal val="0"/>
          <c:showCatName val="0"/>
          <c:showSerName val="0"/>
          <c:showPercent val="0"/>
          <c:showBubbleSize val="0"/>
        </c:dLbls>
        <c:gapWidth val="219"/>
        <c:overlap val="-27"/>
        <c:axId val="614503631"/>
        <c:axId val="614505071"/>
      </c:barChart>
      <c:catAx>
        <c:axId val="614503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614505071"/>
        <c:crosses val="autoZero"/>
        <c:auto val="1"/>
        <c:lblAlgn val="ctr"/>
        <c:lblOffset val="100"/>
        <c:noMultiLvlLbl val="0"/>
      </c:catAx>
      <c:valAx>
        <c:axId val="614505071"/>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614503631"/>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latin typeface="Arial Narrow" panose="020B0606020202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[Dashboard - DAV Transportation Cost.xlsm]CALCULATION- LTL!KPI - LTL</c:name>
    <c:fmtId val="4"/>
  </c:pivotSource>
  <c:chart>
    <c:title>
      <c:tx>
        <c:rich>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r>
              <a:rPr lang="en-US" sz="1600"/>
              <a:t>KPI</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accent5">
                  <a:lumMod val="50000"/>
                </a:schemeClr>
              </a:solidFill>
              <a:latin typeface="UTM Bebas" panose="02040603050506020204" pitchFamily="18" charset="0"/>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w="28575" cap="rnd">
            <a:solidFill>
              <a:schemeClr val="accent6">
                <a:lumMod val="75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w="28575" cap="rnd">
            <a:solidFill>
              <a:schemeClr val="accent2"/>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w="28575" cap="rnd">
            <a:solidFill>
              <a:schemeClr val="accent6">
                <a:lumMod val="75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w="28575" cap="rnd">
            <a:solidFill>
              <a:schemeClr val="accent2"/>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00B05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4"/>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75000"/>
            </a:schemeClr>
          </a:solidFill>
          <a:ln>
            <a:solidFill>
              <a:schemeClr val="accent6">
                <a:lumMod val="75000"/>
              </a:schemeClr>
            </a:solidFill>
          </a:ln>
          <a:effectLst/>
        </c:spPr>
        <c:dLbl>
          <c:idx val="0"/>
          <c:layout>
            <c:manualLayout>
              <c:x val="0"/>
              <c:y val="-5.5036846518702776E-2"/>
            </c:manualLayout>
          </c:layout>
          <c:spPr>
            <a:noFill/>
            <a:ln>
              <a:noFill/>
            </a:ln>
            <a:effectLst/>
          </c:spPr>
          <c:txPr>
            <a:bodyPr rot="0" spcFirstLastPara="1" vertOverflow="ellipsis" vert="horz" wrap="square" anchor="ctr" anchorCtr="1"/>
            <a:lstStyle/>
            <a:p>
              <a:pPr>
                <a:defRPr sz="105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B0F0"/>
          </a:solidFill>
          <a:ln>
            <a:solidFill>
              <a:schemeClr val="accent6">
                <a:lumMod val="75000"/>
              </a:schemeClr>
            </a:solidFill>
          </a:ln>
          <a:effectLst/>
        </c:spPr>
      </c:pivotFmt>
      <c:pivotFmt>
        <c:idx val="14"/>
        <c:spPr>
          <a:solidFill>
            <a:srgbClr val="C00000"/>
          </a:solidFill>
          <a:ln>
            <a:solidFill>
              <a:schemeClr val="accent6">
                <a:lumMod val="75000"/>
              </a:schemeClr>
            </a:solidFill>
          </a:ln>
          <a:effectLst/>
        </c:spPr>
      </c:pivotFmt>
      <c:pivotFmt>
        <c:idx val="15"/>
        <c:spPr>
          <a:solidFill>
            <a:srgbClr val="0070C0"/>
          </a:solidFill>
          <a:ln>
            <a:solidFill>
              <a:schemeClr val="accent6">
                <a:lumMod val="75000"/>
              </a:schemeClr>
            </a:solidFill>
          </a:ln>
          <a:effectLst/>
        </c:spPr>
      </c:pivotFmt>
      <c:pivotFmt>
        <c:idx val="16"/>
        <c:spPr>
          <a:solidFill>
            <a:srgbClr val="92D050"/>
          </a:solidFill>
          <a:ln>
            <a:solidFill>
              <a:schemeClr val="accent6">
                <a:lumMod val="75000"/>
              </a:schemeClr>
            </a:solidFill>
          </a:ln>
          <a:effectLst/>
        </c:spPr>
      </c:pivotFmt>
      <c:pivotFmt>
        <c:idx val="17"/>
        <c:spPr>
          <a:solidFill>
            <a:srgbClr val="FFC000"/>
          </a:solidFill>
          <a:ln>
            <a:solidFill>
              <a:schemeClr val="accent6">
                <a:lumMod val="75000"/>
              </a:schemeClr>
            </a:solidFill>
          </a:ln>
          <a:effectLst/>
        </c:spPr>
      </c:pivotFmt>
    </c:pivotFmts>
    <c:plotArea>
      <c:layout/>
      <c:barChart>
        <c:barDir val="col"/>
        <c:grouping val="clustered"/>
        <c:varyColors val="0"/>
        <c:ser>
          <c:idx val="0"/>
          <c:order val="0"/>
          <c:tx>
            <c:strRef>
              <c:f>'CALCULATION- LTL'!$B$53</c:f>
              <c:strCache>
                <c:ptCount val="1"/>
                <c:pt idx="0">
                  <c:v>Average of KPI- LTL</c:v>
                </c:pt>
              </c:strCache>
            </c:strRef>
          </c:tx>
          <c:spPr>
            <a:solidFill>
              <a:schemeClr val="accent5">
                <a:tint val="58000"/>
              </a:schemeClr>
            </a:solidFill>
            <a:ln>
              <a:solidFill>
                <a:schemeClr val="accent6">
                  <a:lumMod val="75000"/>
                </a:schemeClr>
              </a:solidFill>
            </a:ln>
            <a:effectLst/>
          </c:spPr>
          <c:invertIfNegative val="0"/>
          <c:dPt>
            <c:idx val="0"/>
            <c:invertIfNegative val="0"/>
            <c:bubble3D val="0"/>
            <c:spPr>
              <a:solidFill>
                <a:srgbClr val="00B0F0"/>
              </a:solidFill>
              <a:ln>
                <a:solidFill>
                  <a:schemeClr val="accent6">
                    <a:lumMod val="75000"/>
                  </a:schemeClr>
                </a:solidFill>
              </a:ln>
              <a:effectLst/>
            </c:spPr>
            <c:extLst>
              <c:ext xmlns:c16="http://schemas.microsoft.com/office/drawing/2014/chart" uri="{C3380CC4-5D6E-409C-BE32-E72D297353CC}">
                <c16:uniqueId val="{00000001-0DBF-4121-BD77-E4665BEB6DAC}"/>
              </c:ext>
            </c:extLst>
          </c:dPt>
          <c:dPt>
            <c:idx val="1"/>
            <c:invertIfNegative val="0"/>
            <c:bubble3D val="0"/>
            <c:spPr>
              <a:solidFill>
                <a:schemeClr val="accent6">
                  <a:lumMod val="75000"/>
                </a:schemeClr>
              </a:solidFill>
              <a:ln>
                <a:solidFill>
                  <a:schemeClr val="accent6">
                    <a:lumMod val="75000"/>
                  </a:schemeClr>
                </a:solidFill>
              </a:ln>
              <a:effectLst/>
            </c:spPr>
            <c:extLst>
              <c:ext xmlns:c16="http://schemas.microsoft.com/office/drawing/2014/chart" uri="{C3380CC4-5D6E-409C-BE32-E72D297353CC}">
                <c16:uniqueId val="{00000000-0DBF-4121-BD77-E4665BEB6DAC}"/>
              </c:ext>
            </c:extLst>
          </c:dPt>
          <c:dPt>
            <c:idx val="2"/>
            <c:invertIfNegative val="0"/>
            <c:bubble3D val="0"/>
            <c:spPr>
              <a:solidFill>
                <a:srgbClr val="C00000"/>
              </a:solidFill>
              <a:ln>
                <a:solidFill>
                  <a:schemeClr val="accent6">
                    <a:lumMod val="75000"/>
                  </a:schemeClr>
                </a:solidFill>
              </a:ln>
              <a:effectLst/>
            </c:spPr>
            <c:extLst>
              <c:ext xmlns:c16="http://schemas.microsoft.com/office/drawing/2014/chart" uri="{C3380CC4-5D6E-409C-BE32-E72D297353CC}">
                <c16:uniqueId val="{00000002-0DBF-4121-BD77-E4665BEB6DAC}"/>
              </c:ext>
            </c:extLst>
          </c:dPt>
          <c:dPt>
            <c:idx val="3"/>
            <c:invertIfNegative val="0"/>
            <c:bubble3D val="0"/>
            <c:spPr>
              <a:solidFill>
                <a:srgbClr val="0070C0"/>
              </a:solidFill>
              <a:ln>
                <a:solidFill>
                  <a:schemeClr val="accent6">
                    <a:lumMod val="75000"/>
                  </a:schemeClr>
                </a:solidFill>
              </a:ln>
              <a:effectLst/>
            </c:spPr>
            <c:extLst>
              <c:ext xmlns:c16="http://schemas.microsoft.com/office/drawing/2014/chart" uri="{C3380CC4-5D6E-409C-BE32-E72D297353CC}">
                <c16:uniqueId val="{00000003-0DBF-4121-BD77-E4665BEB6DAC}"/>
              </c:ext>
            </c:extLst>
          </c:dPt>
          <c:dPt>
            <c:idx val="4"/>
            <c:invertIfNegative val="0"/>
            <c:bubble3D val="0"/>
            <c:spPr>
              <a:solidFill>
                <a:srgbClr val="92D050"/>
              </a:solidFill>
              <a:ln>
                <a:solidFill>
                  <a:schemeClr val="accent6">
                    <a:lumMod val="75000"/>
                  </a:schemeClr>
                </a:solidFill>
              </a:ln>
              <a:effectLst/>
            </c:spPr>
            <c:extLst>
              <c:ext xmlns:c16="http://schemas.microsoft.com/office/drawing/2014/chart" uri="{C3380CC4-5D6E-409C-BE32-E72D297353CC}">
                <c16:uniqueId val="{00000004-0DBF-4121-BD77-E4665BEB6DAC}"/>
              </c:ext>
            </c:extLst>
          </c:dPt>
          <c:dPt>
            <c:idx val="5"/>
            <c:invertIfNegative val="0"/>
            <c:bubble3D val="0"/>
            <c:spPr>
              <a:solidFill>
                <a:srgbClr val="FFC000"/>
              </a:solidFill>
              <a:ln>
                <a:solidFill>
                  <a:schemeClr val="accent6">
                    <a:lumMod val="75000"/>
                  </a:schemeClr>
                </a:solidFill>
              </a:ln>
              <a:effectLst/>
            </c:spPr>
            <c:extLst>
              <c:ext xmlns:c16="http://schemas.microsoft.com/office/drawing/2014/chart" uri="{C3380CC4-5D6E-409C-BE32-E72D297353CC}">
                <c16:uniqueId val="{00000005-0DBF-4121-BD77-E4665BEB6DAC}"/>
              </c:ext>
            </c:extLst>
          </c:dPt>
          <c:dLbls>
            <c:dLbl>
              <c:idx val="1"/>
              <c:layout>
                <c:manualLayout>
                  <c:x val="0"/>
                  <c:y val="-5.5036846518702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DBF-4121-BD77-E4665BEB6DAC}"/>
                </c:ext>
              </c:extLst>
            </c:dLbl>
            <c:spPr>
              <a:noFill/>
              <a:ln>
                <a:noFill/>
              </a:ln>
              <a:effectLst/>
            </c:spPr>
            <c:txPr>
              <a:bodyPr rot="0" spcFirstLastPara="1" vertOverflow="ellipsis" vert="horz" wrap="square" anchor="ctr" anchorCtr="1"/>
              <a:lstStyle/>
              <a:p>
                <a:pPr>
                  <a:defRPr sz="1050" b="0" i="0" u="none" strike="noStrike" kern="1200" baseline="0">
                    <a:solidFill>
                      <a:schemeClr val="accent5">
                        <a:lumMod val="50000"/>
                      </a:schemeClr>
                    </a:solidFill>
                    <a:latin typeface="UTM Bebas" panose="02040603050506020204" pitchFamily="18"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LTL'!$A$54:$A$60</c:f>
              <c:strCache>
                <c:ptCount val="6"/>
                <c:pt idx="0">
                  <c:v>NANG DONG</c:v>
                </c:pt>
                <c:pt idx="1">
                  <c:v>NETCO</c:v>
                </c:pt>
                <c:pt idx="2">
                  <c:v>NHAT QUANG</c:v>
                </c:pt>
                <c:pt idx="3">
                  <c:v>NHAT TIN</c:v>
                </c:pt>
                <c:pt idx="4">
                  <c:v>NHUT LIEN</c:v>
                </c:pt>
                <c:pt idx="5">
                  <c:v>TASETCO</c:v>
                </c:pt>
              </c:strCache>
            </c:strRef>
          </c:cat>
          <c:val>
            <c:numRef>
              <c:f>'CALCULATION- LTL'!$B$54:$B$60</c:f>
              <c:numCache>
                <c:formatCode>0.00%</c:formatCode>
                <c:ptCount val="6"/>
                <c:pt idx="0">
                  <c:v>0.97269524405908803</c:v>
                </c:pt>
                <c:pt idx="1">
                  <c:v>0.91221000000000019</c:v>
                </c:pt>
                <c:pt idx="2">
                  <c:v>0.97599999999999998</c:v>
                </c:pt>
                <c:pt idx="3">
                  <c:v>0.94374761904761917</c:v>
                </c:pt>
                <c:pt idx="4">
                  <c:v>0.95599999999999996</c:v>
                </c:pt>
                <c:pt idx="5">
                  <c:v>0.99742281560477952</c:v>
                </c:pt>
              </c:numCache>
            </c:numRef>
          </c:val>
          <c:extLst>
            <c:ext xmlns:c16="http://schemas.microsoft.com/office/drawing/2014/chart" uri="{C3380CC4-5D6E-409C-BE32-E72D297353CC}">
              <c16:uniqueId val="{00000000-E708-4CAC-ACC4-2C888F63C81C}"/>
            </c:ext>
          </c:extLst>
        </c:ser>
        <c:dLbls>
          <c:showLegendKey val="0"/>
          <c:showVal val="0"/>
          <c:showCatName val="0"/>
          <c:showSerName val="0"/>
          <c:showPercent val="0"/>
          <c:showBubbleSize val="0"/>
        </c:dLbls>
        <c:gapWidth val="219"/>
        <c:overlap val="-27"/>
        <c:axId val="964271487"/>
        <c:axId val="964278687"/>
      </c:barChart>
      <c:lineChart>
        <c:grouping val="standard"/>
        <c:varyColors val="0"/>
        <c:ser>
          <c:idx val="1"/>
          <c:order val="1"/>
          <c:tx>
            <c:strRef>
              <c:f>'CALCULATION- LTL'!$C$53</c:f>
              <c:strCache>
                <c:ptCount val="1"/>
                <c:pt idx="0">
                  <c:v>Good</c:v>
                </c:pt>
              </c:strCache>
            </c:strRef>
          </c:tx>
          <c:spPr>
            <a:ln w="28575" cap="rnd">
              <a:solidFill>
                <a:srgbClr val="00B050"/>
              </a:solidFill>
              <a:prstDash val="dash"/>
              <a:round/>
            </a:ln>
            <a:effectLst/>
          </c:spPr>
          <c:marker>
            <c:symbol val="none"/>
          </c:marker>
          <c:cat>
            <c:strRef>
              <c:f>'CALCULATION- LTL'!$A$54:$A$60</c:f>
              <c:strCache>
                <c:ptCount val="6"/>
                <c:pt idx="0">
                  <c:v>NANG DONG</c:v>
                </c:pt>
                <c:pt idx="1">
                  <c:v>NETCO</c:v>
                </c:pt>
                <c:pt idx="2">
                  <c:v>NHAT QUANG</c:v>
                </c:pt>
                <c:pt idx="3">
                  <c:v>NHAT TIN</c:v>
                </c:pt>
                <c:pt idx="4">
                  <c:v>NHUT LIEN</c:v>
                </c:pt>
                <c:pt idx="5">
                  <c:v>TASETCO</c:v>
                </c:pt>
              </c:strCache>
            </c:strRef>
          </c:cat>
          <c:val>
            <c:numRef>
              <c:f>'CALCULATION- LTL'!$C$54:$C$60</c:f>
              <c:numCache>
                <c:formatCode>0.00%</c:formatCode>
                <c:ptCount val="6"/>
                <c:pt idx="0">
                  <c:v>0.95</c:v>
                </c:pt>
                <c:pt idx="1">
                  <c:v>0.95</c:v>
                </c:pt>
                <c:pt idx="2">
                  <c:v>0.95</c:v>
                </c:pt>
                <c:pt idx="3">
                  <c:v>0.95</c:v>
                </c:pt>
                <c:pt idx="4">
                  <c:v>0.95</c:v>
                </c:pt>
                <c:pt idx="5">
                  <c:v>0.95</c:v>
                </c:pt>
              </c:numCache>
            </c:numRef>
          </c:val>
          <c:smooth val="0"/>
          <c:extLst>
            <c:ext xmlns:c16="http://schemas.microsoft.com/office/drawing/2014/chart" uri="{C3380CC4-5D6E-409C-BE32-E72D297353CC}">
              <c16:uniqueId val="{00000001-E708-4CAC-ACC4-2C888F63C81C}"/>
            </c:ext>
          </c:extLst>
        </c:ser>
        <c:ser>
          <c:idx val="2"/>
          <c:order val="2"/>
          <c:tx>
            <c:strRef>
              <c:f>'CALCULATION- LTL'!$D$53</c:f>
              <c:strCache>
                <c:ptCount val="1"/>
                <c:pt idx="0">
                  <c:v>Good.</c:v>
                </c:pt>
              </c:strCache>
            </c:strRef>
          </c:tx>
          <c:spPr>
            <a:ln w="28575" cap="rnd">
              <a:solidFill>
                <a:schemeClr val="accent4"/>
              </a:solidFill>
              <a:prstDash val="dash"/>
              <a:round/>
            </a:ln>
            <a:effectLst/>
          </c:spPr>
          <c:marker>
            <c:symbol val="none"/>
          </c:marker>
          <c:cat>
            <c:strRef>
              <c:f>'CALCULATION- LTL'!$A$54:$A$60</c:f>
              <c:strCache>
                <c:ptCount val="6"/>
                <c:pt idx="0">
                  <c:v>NANG DONG</c:v>
                </c:pt>
                <c:pt idx="1">
                  <c:v>NETCO</c:v>
                </c:pt>
                <c:pt idx="2">
                  <c:v>NHAT QUANG</c:v>
                </c:pt>
                <c:pt idx="3">
                  <c:v>NHAT TIN</c:v>
                </c:pt>
                <c:pt idx="4">
                  <c:v>NHUT LIEN</c:v>
                </c:pt>
                <c:pt idx="5">
                  <c:v>TASETCO</c:v>
                </c:pt>
              </c:strCache>
            </c:strRef>
          </c:cat>
          <c:val>
            <c:numRef>
              <c:f>'CALCULATION- LTL'!$D$54:$D$60</c:f>
              <c:numCache>
                <c:formatCode>0.00%</c:formatCode>
                <c:ptCount val="6"/>
                <c:pt idx="0">
                  <c:v>0.9</c:v>
                </c:pt>
                <c:pt idx="1">
                  <c:v>0.9</c:v>
                </c:pt>
                <c:pt idx="2">
                  <c:v>0.9</c:v>
                </c:pt>
                <c:pt idx="3">
                  <c:v>0.9</c:v>
                </c:pt>
                <c:pt idx="4">
                  <c:v>0.9</c:v>
                </c:pt>
                <c:pt idx="5">
                  <c:v>0.9</c:v>
                </c:pt>
              </c:numCache>
            </c:numRef>
          </c:val>
          <c:smooth val="0"/>
          <c:extLst>
            <c:ext xmlns:c16="http://schemas.microsoft.com/office/drawing/2014/chart" uri="{C3380CC4-5D6E-409C-BE32-E72D297353CC}">
              <c16:uniqueId val="{00000002-E708-4CAC-ACC4-2C888F63C81C}"/>
            </c:ext>
          </c:extLst>
        </c:ser>
        <c:ser>
          <c:idx val="3"/>
          <c:order val="3"/>
          <c:tx>
            <c:strRef>
              <c:f>'CALCULATION- LTL'!$E$53</c:f>
              <c:strCache>
                <c:ptCount val="1"/>
                <c:pt idx="0">
                  <c:v>Need to improve</c:v>
                </c:pt>
              </c:strCache>
            </c:strRef>
          </c:tx>
          <c:spPr>
            <a:ln w="28575" cap="rnd">
              <a:solidFill>
                <a:srgbClr val="FF0000"/>
              </a:solidFill>
              <a:prstDash val="dash"/>
              <a:round/>
            </a:ln>
            <a:effectLst/>
          </c:spPr>
          <c:marker>
            <c:symbol val="none"/>
          </c:marker>
          <c:cat>
            <c:strRef>
              <c:f>'CALCULATION- LTL'!$A$54:$A$60</c:f>
              <c:strCache>
                <c:ptCount val="6"/>
                <c:pt idx="0">
                  <c:v>NANG DONG</c:v>
                </c:pt>
                <c:pt idx="1">
                  <c:v>NETCO</c:v>
                </c:pt>
                <c:pt idx="2">
                  <c:v>NHAT QUANG</c:v>
                </c:pt>
                <c:pt idx="3">
                  <c:v>NHAT TIN</c:v>
                </c:pt>
                <c:pt idx="4">
                  <c:v>NHUT LIEN</c:v>
                </c:pt>
                <c:pt idx="5">
                  <c:v>TASETCO</c:v>
                </c:pt>
              </c:strCache>
            </c:strRef>
          </c:cat>
          <c:val>
            <c:numRef>
              <c:f>'CALCULATION- LTL'!$E$54:$E$60</c:f>
              <c:numCache>
                <c:formatCode>0.00%</c:formatCode>
                <c:ptCount val="6"/>
                <c:pt idx="0">
                  <c:v>0.85</c:v>
                </c:pt>
                <c:pt idx="1">
                  <c:v>0.85</c:v>
                </c:pt>
                <c:pt idx="2">
                  <c:v>0.85</c:v>
                </c:pt>
                <c:pt idx="3">
                  <c:v>0.85</c:v>
                </c:pt>
                <c:pt idx="4">
                  <c:v>0.85</c:v>
                </c:pt>
                <c:pt idx="5">
                  <c:v>0.85</c:v>
                </c:pt>
              </c:numCache>
            </c:numRef>
          </c:val>
          <c:smooth val="0"/>
          <c:extLst>
            <c:ext xmlns:c16="http://schemas.microsoft.com/office/drawing/2014/chart" uri="{C3380CC4-5D6E-409C-BE32-E72D297353CC}">
              <c16:uniqueId val="{00000003-E708-4CAC-ACC4-2C888F63C81C}"/>
            </c:ext>
          </c:extLst>
        </c:ser>
        <c:dLbls>
          <c:showLegendKey val="0"/>
          <c:showVal val="0"/>
          <c:showCatName val="0"/>
          <c:showSerName val="0"/>
          <c:showPercent val="0"/>
          <c:showBubbleSize val="0"/>
        </c:dLbls>
        <c:marker val="1"/>
        <c:smooth val="0"/>
        <c:axId val="964271487"/>
        <c:axId val="964278687"/>
      </c:lineChart>
      <c:catAx>
        <c:axId val="964271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accent5">
                    <a:lumMod val="50000"/>
                  </a:schemeClr>
                </a:solidFill>
                <a:latin typeface="UTM Bebas" panose="02040603050506020204" pitchFamily="18" charset="0"/>
                <a:ea typeface="+mn-ea"/>
                <a:cs typeface="+mn-cs"/>
              </a:defRPr>
            </a:pPr>
            <a:endParaRPr lang="en-US"/>
          </a:p>
        </c:txPr>
        <c:crossAx val="964278687"/>
        <c:crosses val="autoZero"/>
        <c:auto val="1"/>
        <c:lblAlgn val="ctr"/>
        <c:lblOffset val="100"/>
        <c:noMultiLvlLbl val="0"/>
      </c:catAx>
      <c:valAx>
        <c:axId val="964278687"/>
        <c:scaling>
          <c:orientation val="minMax"/>
        </c:scaling>
        <c:delete val="1"/>
        <c:axPos val="l"/>
        <c:numFmt formatCode="0.00%" sourceLinked="1"/>
        <c:majorTickMark val="none"/>
        <c:minorTickMark val="none"/>
        <c:tickLblPos val="nextTo"/>
        <c:crossAx val="964271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solidFill>
            <a:schemeClr val="accent5">
              <a:lumMod val="50000"/>
            </a:schemeClr>
          </a:solidFill>
          <a:latin typeface="UTM Bebas" panose="020406030505060202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[Dashboard - DAV Transportation Cost.xlsm]CALCULATION- LTL!RATIO - LTL</c:name>
    <c:fmtId val="4"/>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UTM Bebas" panose="02040603050506020204" pitchFamily="18" charset="0"/>
                <a:ea typeface="+mn-ea"/>
                <a:cs typeface="+mn-cs"/>
              </a:defRPr>
            </a:pPr>
            <a:r>
              <a:rPr lang="en-US" sz="1600" b="0" i="0">
                <a:solidFill>
                  <a:schemeClr val="accent1">
                    <a:lumMod val="75000"/>
                  </a:schemeClr>
                </a:solidFill>
                <a:latin typeface="UTM Bebas" panose="02040603050506020204" pitchFamily="18" charset="0"/>
              </a:rPr>
              <a:t>RATIO</a:t>
            </a:r>
            <a:r>
              <a:rPr lang="en-US" sz="1600" b="0" i="0" baseline="0">
                <a:solidFill>
                  <a:schemeClr val="accent1">
                    <a:lumMod val="75000"/>
                  </a:schemeClr>
                </a:solidFill>
                <a:latin typeface="UTM Bebas" panose="02040603050506020204" pitchFamily="18" charset="0"/>
              </a:rPr>
              <a:t> USING</a:t>
            </a:r>
            <a:endParaRPr lang="en-US" sz="1600" b="0" i="0">
              <a:solidFill>
                <a:schemeClr val="accent1">
                  <a:lumMod val="75000"/>
                </a:schemeClr>
              </a:solidFill>
              <a:latin typeface="UTM Bebas" panose="02040603050506020204" pitchFamily="18" charset="0"/>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UTM Bebas" panose="02040603050506020204" pitchFamily="18" charset="0"/>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w="19050">
            <a:solidFill>
              <a:schemeClr val="lt1"/>
            </a:solidFill>
          </a:ln>
          <a:effectLst/>
        </c:spPr>
      </c:pivotFmt>
      <c:pivotFmt>
        <c:idx val="10"/>
        <c:spPr>
          <a:solidFill>
            <a:schemeClr val="accent5"/>
          </a:solidFill>
          <a:ln w="19050">
            <a:solidFill>
              <a:schemeClr val="lt1"/>
            </a:solidFill>
          </a:ln>
          <a:effectLst/>
        </c:spPr>
      </c:pivotFmt>
      <c:pivotFmt>
        <c:idx val="11"/>
        <c:spPr>
          <a:solidFill>
            <a:schemeClr val="accent5"/>
          </a:solidFill>
          <a:ln w="19050">
            <a:solidFill>
              <a:schemeClr val="lt1"/>
            </a:solidFill>
          </a:ln>
          <a:effectLst/>
        </c:spPr>
      </c:pivotFmt>
      <c:pivotFmt>
        <c:idx val="1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w="19050">
            <a:solidFill>
              <a:schemeClr val="lt1"/>
            </a:solidFill>
          </a:ln>
          <a:effectLst/>
        </c:spPr>
      </c:pivotFmt>
      <c:pivotFmt>
        <c:idx val="14"/>
        <c:spPr>
          <a:solidFill>
            <a:schemeClr val="accent5"/>
          </a:solidFill>
          <a:ln w="19050">
            <a:solidFill>
              <a:schemeClr val="lt1"/>
            </a:solidFill>
          </a:ln>
          <a:effectLst/>
        </c:spPr>
      </c:pivotFmt>
      <c:pivotFmt>
        <c:idx val="15"/>
        <c:spPr>
          <a:solidFill>
            <a:schemeClr val="accent5"/>
          </a:solidFill>
          <a:ln w="19050">
            <a:solidFill>
              <a:schemeClr val="lt1"/>
            </a:solidFill>
          </a:ln>
          <a:effectLst/>
        </c:spPr>
      </c:pivotFmt>
      <c:pivotFmt>
        <c:idx val="1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solidFill>
          <a:ln w="19050">
            <a:solidFill>
              <a:schemeClr val="lt1"/>
            </a:solidFill>
          </a:ln>
          <a:effectLst/>
        </c:spPr>
      </c:pivotFmt>
      <c:pivotFmt>
        <c:idx val="2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5"/>
          </a:solidFill>
          <a:ln w="19050">
            <a:solidFill>
              <a:schemeClr val="lt1"/>
            </a:solidFill>
          </a:ln>
          <a:effectLst/>
        </c:spPr>
      </c:pivotFmt>
      <c:pivotFmt>
        <c:idx val="22"/>
        <c:spPr>
          <a:solidFill>
            <a:schemeClr val="accent5"/>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5"/>
          </a:solidFill>
          <a:ln w="19050">
            <a:solidFill>
              <a:schemeClr val="lt1"/>
            </a:solidFill>
          </a:ln>
          <a:effectLst/>
        </c:spPr>
      </c:pivotFmt>
      <c:pivotFmt>
        <c:idx val="26"/>
        <c:spPr>
          <a:solidFill>
            <a:schemeClr val="accent5"/>
          </a:solidFill>
          <a:ln w="19050">
            <a:solidFill>
              <a:schemeClr val="lt1"/>
            </a:solidFill>
          </a:ln>
          <a:effectLst/>
        </c:spPr>
      </c:pivotFmt>
      <c:pivotFmt>
        <c:idx val="27"/>
        <c:spPr>
          <a:solidFill>
            <a:schemeClr val="accent5"/>
          </a:solidFill>
          <a:ln w="19050">
            <a:solidFill>
              <a:schemeClr val="lt1"/>
            </a:solidFill>
          </a:ln>
          <a:effectLst/>
        </c:spPr>
      </c:pivotFmt>
      <c:pivotFmt>
        <c:idx val="2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5"/>
          </a:solidFill>
          <a:ln w="19050">
            <a:solidFill>
              <a:schemeClr val="lt1"/>
            </a:solidFill>
          </a:ln>
          <a:effectLst/>
        </c:spPr>
      </c:pivotFmt>
      <c:pivotFmt>
        <c:idx val="30"/>
        <c:spPr>
          <a:solidFill>
            <a:schemeClr val="accent5"/>
          </a:solidFill>
          <a:ln w="19050">
            <a:solidFill>
              <a:schemeClr val="lt1"/>
            </a:solidFill>
          </a:ln>
          <a:effectLst/>
        </c:spPr>
      </c:pivotFmt>
      <c:pivotFmt>
        <c:idx val="31"/>
        <c:spPr>
          <a:solidFill>
            <a:schemeClr val="accent5"/>
          </a:solidFill>
          <a:ln w="19050">
            <a:solidFill>
              <a:schemeClr val="lt1"/>
            </a:solidFill>
          </a:ln>
          <a:effectLst/>
        </c:spPr>
      </c:pivotFmt>
      <c:pivotFmt>
        <c:idx val="3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5"/>
          </a:solidFill>
          <a:ln w="19050">
            <a:solidFill>
              <a:schemeClr val="lt1"/>
            </a:solidFill>
          </a:ln>
          <a:effectLst/>
        </c:spPr>
      </c:pivotFmt>
      <c:pivotFmt>
        <c:idx val="34"/>
        <c:spPr>
          <a:solidFill>
            <a:schemeClr val="accent5"/>
          </a:solidFill>
          <a:ln w="19050">
            <a:solidFill>
              <a:schemeClr val="lt1"/>
            </a:solidFill>
          </a:ln>
          <a:effectLst/>
        </c:spPr>
      </c:pivotFmt>
      <c:pivotFmt>
        <c:idx val="35"/>
        <c:spPr>
          <a:solidFill>
            <a:schemeClr val="accent5"/>
          </a:solidFill>
          <a:ln w="19050">
            <a:solidFill>
              <a:schemeClr val="lt1"/>
            </a:solidFill>
          </a:ln>
          <a:effectLst/>
        </c:spPr>
      </c:pivotFmt>
      <c:pivotFmt>
        <c:idx val="3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5"/>
          </a:solidFill>
          <a:ln w="19050">
            <a:solidFill>
              <a:schemeClr val="lt1"/>
            </a:solidFill>
          </a:ln>
          <a:effectLst/>
        </c:spPr>
      </c:pivotFmt>
      <c:pivotFmt>
        <c:idx val="38"/>
        <c:spPr>
          <a:solidFill>
            <a:schemeClr val="accent5"/>
          </a:solidFill>
          <a:ln w="19050">
            <a:solidFill>
              <a:schemeClr val="lt1"/>
            </a:solidFill>
          </a:ln>
          <a:effectLst/>
        </c:spPr>
      </c:pivotFmt>
      <c:pivotFmt>
        <c:idx val="39"/>
        <c:spPr>
          <a:solidFill>
            <a:schemeClr val="accent5"/>
          </a:solidFill>
          <a:ln w="19050">
            <a:solidFill>
              <a:schemeClr val="lt1"/>
            </a:solidFill>
          </a:ln>
          <a:effectLst/>
        </c:spPr>
      </c:pivotFmt>
      <c:pivotFmt>
        <c:idx val="4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5"/>
          </a:solidFill>
          <a:ln w="19050">
            <a:solidFill>
              <a:schemeClr val="lt1"/>
            </a:solidFill>
          </a:ln>
          <a:effectLst/>
        </c:spPr>
      </c:pivotFmt>
      <c:pivotFmt>
        <c:idx val="42"/>
        <c:spPr>
          <a:solidFill>
            <a:schemeClr val="accent5"/>
          </a:solidFill>
          <a:ln w="19050">
            <a:solidFill>
              <a:schemeClr val="lt1"/>
            </a:solidFill>
          </a:ln>
          <a:effectLst/>
        </c:spPr>
      </c:pivotFmt>
      <c:pivotFmt>
        <c:idx val="43"/>
        <c:spPr>
          <a:solidFill>
            <a:schemeClr val="accent5"/>
          </a:solidFill>
          <a:ln w="19050">
            <a:solidFill>
              <a:schemeClr val="lt1"/>
            </a:solidFill>
          </a:ln>
          <a:effectLst/>
        </c:spPr>
      </c:pivotFmt>
      <c:pivotFmt>
        <c:idx val="4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5"/>
          </a:solidFill>
          <a:ln w="19050">
            <a:solidFill>
              <a:schemeClr val="lt1"/>
            </a:solidFill>
          </a:ln>
          <a:effectLst/>
        </c:spPr>
      </c:pivotFmt>
      <c:pivotFmt>
        <c:idx val="46"/>
        <c:spPr>
          <a:solidFill>
            <a:schemeClr val="accent5"/>
          </a:solidFill>
          <a:ln w="19050">
            <a:solidFill>
              <a:schemeClr val="lt1"/>
            </a:solidFill>
          </a:ln>
          <a:effectLst/>
        </c:spPr>
      </c:pivotFmt>
      <c:pivotFmt>
        <c:idx val="47"/>
        <c:spPr>
          <a:solidFill>
            <a:schemeClr val="accent5"/>
          </a:solidFill>
          <a:ln w="19050">
            <a:solidFill>
              <a:schemeClr val="lt1"/>
            </a:solidFill>
          </a:ln>
          <a:effectLst/>
        </c:spPr>
      </c:pivotFmt>
      <c:pivotFmt>
        <c:idx val="4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5"/>
          </a:solidFill>
          <a:ln w="19050">
            <a:solidFill>
              <a:schemeClr val="lt1"/>
            </a:solidFill>
          </a:ln>
          <a:effectLst/>
        </c:spPr>
      </c:pivotFmt>
      <c:pivotFmt>
        <c:idx val="50"/>
        <c:spPr>
          <a:solidFill>
            <a:schemeClr val="accent5"/>
          </a:solidFill>
          <a:ln w="19050">
            <a:solidFill>
              <a:schemeClr val="lt1"/>
            </a:solidFill>
          </a:ln>
          <a:effectLst/>
        </c:spPr>
      </c:pivotFmt>
      <c:pivotFmt>
        <c:idx val="51"/>
        <c:spPr>
          <a:solidFill>
            <a:schemeClr val="accent5"/>
          </a:solidFill>
          <a:ln w="19050">
            <a:solidFill>
              <a:schemeClr val="lt1"/>
            </a:solidFill>
          </a:ln>
          <a:effectLst/>
        </c:spPr>
      </c:pivotFmt>
      <c:pivotFmt>
        <c:idx val="5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5"/>
          </a:solidFill>
          <a:ln w="19050">
            <a:solidFill>
              <a:schemeClr val="lt1"/>
            </a:solidFill>
          </a:ln>
          <a:effectLst/>
        </c:spPr>
      </c:pivotFmt>
      <c:pivotFmt>
        <c:idx val="54"/>
        <c:spPr>
          <a:solidFill>
            <a:schemeClr val="accent5"/>
          </a:solidFill>
          <a:ln w="19050">
            <a:solidFill>
              <a:schemeClr val="lt1"/>
            </a:solidFill>
          </a:ln>
          <a:effectLst/>
        </c:spPr>
      </c:pivotFmt>
      <c:pivotFmt>
        <c:idx val="55"/>
        <c:spPr>
          <a:solidFill>
            <a:schemeClr val="accent5"/>
          </a:solidFill>
          <a:ln w="19050">
            <a:solidFill>
              <a:schemeClr val="lt1"/>
            </a:solidFill>
          </a:ln>
          <a:effectLst/>
        </c:spPr>
      </c:pivotFmt>
      <c:pivotFmt>
        <c:idx val="5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5"/>
          </a:solidFill>
          <a:ln w="19050">
            <a:solidFill>
              <a:schemeClr val="lt1"/>
            </a:solidFill>
          </a:ln>
          <a:effectLst/>
        </c:spPr>
      </c:pivotFmt>
      <c:pivotFmt>
        <c:idx val="58"/>
        <c:spPr>
          <a:solidFill>
            <a:schemeClr val="accent5"/>
          </a:solidFill>
          <a:ln w="19050">
            <a:solidFill>
              <a:schemeClr val="lt1"/>
            </a:solidFill>
          </a:ln>
          <a:effectLst/>
        </c:spPr>
      </c:pivotFmt>
      <c:pivotFmt>
        <c:idx val="59"/>
        <c:spPr>
          <a:solidFill>
            <a:schemeClr val="accent5"/>
          </a:solidFill>
          <a:ln w="19050">
            <a:solidFill>
              <a:schemeClr val="lt1"/>
            </a:solidFill>
          </a:ln>
          <a:effectLst/>
        </c:spPr>
      </c:pivotFmt>
      <c:pivotFmt>
        <c:idx val="6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5"/>
          </a:solidFill>
          <a:ln w="19050">
            <a:solidFill>
              <a:schemeClr val="lt1"/>
            </a:solidFill>
          </a:ln>
          <a:effectLst/>
        </c:spPr>
      </c:pivotFmt>
      <c:pivotFmt>
        <c:idx val="62"/>
        <c:spPr>
          <a:solidFill>
            <a:schemeClr val="accent5"/>
          </a:solidFill>
          <a:ln w="19050">
            <a:solidFill>
              <a:schemeClr val="lt1"/>
            </a:solidFill>
          </a:ln>
          <a:effectLst/>
        </c:spPr>
      </c:pivotFmt>
      <c:pivotFmt>
        <c:idx val="63"/>
        <c:spPr>
          <a:solidFill>
            <a:schemeClr val="accent5"/>
          </a:solidFill>
          <a:ln w="19050">
            <a:solidFill>
              <a:schemeClr val="lt1"/>
            </a:solidFill>
          </a:ln>
          <a:effectLst/>
        </c:spPr>
      </c:pivotFmt>
      <c:pivotFmt>
        <c:idx val="6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5"/>
          </a:solidFill>
          <a:ln w="19050">
            <a:solidFill>
              <a:schemeClr val="lt1"/>
            </a:solidFill>
          </a:ln>
          <a:effectLst/>
        </c:spPr>
      </c:pivotFmt>
      <c:pivotFmt>
        <c:idx val="66"/>
        <c:spPr>
          <a:solidFill>
            <a:schemeClr val="accent5"/>
          </a:solidFill>
          <a:ln w="19050">
            <a:solidFill>
              <a:schemeClr val="lt1"/>
            </a:solidFill>
          </a:ln>
          <a:effectLst/>
        </c:spPr>
      </c:pivotFmt>
      <c:pivotFmt>
        <c:idx val="67"/>
        <c:spPr>
          <a:solidFill>
            <a:schemeClr val="accent5"/>
          </a:solidFill>
          <a:ln w="19050">
            <a:solidFill>
              <a:schemeClr val="lt1"/>
            </a:solidFill>
          </a:ln>
          <a:effectLst/>
        </c:spPr>
      </c:pivotFmt>
      <c:pivotFmt>
        <c:idx val="6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5"/>
          </a:solidFill>
          <a:ln w="19050">
            <a:solidFill>
              <a:schemeClr val="lt1"/>
            </a:solidFill>
          </a:ln>
          <a:effectLst/>
        </c:spPr>
      </c:pivotFmt>
      <c:pivotFmt>
        <c:idx val="70"/>
        <c:spPr>
          <a:solidFill>
            <a:schemeClr val="accent5"/>
          </a:solidFill>
          <a:ln w="19050">
            <a:solidFill>
              <a:schemeClr val="lt1"/>
            </a:solidFill>
          </a:ln>
          <a:effectLst/>
        </c:spPr>
      </c:pivotFmt>
      <c:pivotFmt>
        <c:idx val="71"/>
        <c:spPr>
          <a:solidFill>
            <a:schemeClr val="accent5"/>
          </a:solidFill>
          <a:ln w="19050">
            <a:solidFill>
              <a:schemeClr val="lt1"/>
            </a:solidFill>
          </a:ln>
          <a:effectLst/>
        </c:spPr>
      </c:pivotFmt>
      <c:pivotFmt>
        <c:idx val="72"/>
        <c:spPr>
          <a:solidFill>
            <a:srgbClr val="FFC000"/>
          </a:solidFill>
          <a:ln w="9525">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3"/>
        <c:spPr>
          <a:solidFill>
            <a:srgbClr val="00B0F0"/>
          </a:solidFill>
          <a:ln w="9525">
            <a:solidFill>
              <a:schemeClr val="accent6">
                <a:lumMod val="75000"/>
              </a:schemeClr>
            </a:solidFill>
          </a:ln>
          <a:effectLst/>
        </c:spPr>
        <c:dLbl>
          <c:idx val="0"/>
          <c:layout>
            <c:manualLayout>
              <c:x val="2.1334455082030735E-2"/>
              <c:y val="-2.04474996127752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4"/>
        <c:spPr>
          <a:solidFill>
            <a:schemeClr val="accent6">
              <a:lumMod val="75000"/>
            </a:schemeClr>
          </a:solidFill>
          <a:ln w="9525">
            <a:solidFill>
              <a:schemeClr val="accent6">
                <a:lumMod val="75000"/>
              </a:schemeClr>
            </a:solidFill>
          </a:ln>
          <a:effectLst/>
        </c:spPr>
        <c:dLbl>
          <c:idx val="0"/>
          <c:layout>
            <c:manualLayout>
              <c:x val="3.3684114982038139E-2"/>
              <c:y val="-4.91909290783915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5"/>
        <c:spPr>
          <a:solidFill>
            <a:srgbClr val="C00000"/>
          </a:solidFill>
          <a:ln w="9525">
            <a:solidFill>
              <a:schemeClr val="accent6">
                <a:lumMod val="75000"/>
              </a:schemeClr>
            </a:solidFill>
          </a:ln>
          <a:effectLst/>
        </c:spPr>
        <c:dLbl>
          <c:idx val="0"/>
          <c:layout>
            <c:manualLayout>
              <c:x val="7.877742104457254E-2"/>
              <c:y val="4.224799803964299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6"/>
        <c:spPr>
          <a:solidFill>
            <a:srgbClr val="0070C0"/>
          </a:solidFill>
          <a:ln w="9525">
            <a:solidFill>
              <a:schemeClr val="accent6">
                <a:lumMod val="75000"/>
              </a:schemeClr>
            </a:solidFill>
          </a:ln>
          <a:effectLst/>
        </c:spPr>
        <c:dLbl>
          <c:idx val="0"/>
          <c:layout>
            <c:manualLayout>
              <c:x val="4.7651182937012426E-2"/>
              <c:y val="-3.986296480949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7"/>
        <c:spPr>
          <a:solidFill>
            <a:schemeClr val="accent4">
              <a:lumMod val="50000"/>
            </a:schemeClr>
          </a:solidFill>
          <a:ln w="9525">
            <a:solidFill>
              <a:schemeClr val="accent6">
                <a:lumMod val="75000"/>
              </a:schemeClr>
            </a:solidFill>
          </a:ln>
          <a:effectLst/>
        </c:spPr>
        <c:dLbl>
          <c:idx val="0"/>
          <c:layout>
            <c:manualLayout>
              <c:x val="-0.20935671131859568"/>
              <c:y val="7.383536864981069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8"/>
        <c:spPr>
          <a:solidFill>
            <a:srgbClr val="FFC000"/>
          </a:solidFill>
          <a:ln w="9525">
            <a:solidFill>
              <a:schemeClr val="accent6">
                <a:lumMod val="75000"/>
              </a:schemeClr>
            </a:solidFill>
          </a:ln>
          <a:effectLst/>
        </c:spPr>
        <c:dLbl>
          <c:idx val="0"/>
          <c:layout>
            <c:manualLayout>
              <c:x val="-3.3981586871421401E-2"/>
              <c:y val="-6.31340699132989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pieChart>
        <c:varyColors val="1"/>
        <c:ser>
          <c:idx val="0"/>
          <c:order val="0"/>
          <c:tx>
            <c:strRef>
              <c:f>'CALCULATION- LTL'!$B$67</c:f>
              <c:strCache>
                <c:ptCount val="1"/>
                <c:pt idx="0">
                  <c:v>Total</c:v>
                </c:pt>
              </c:strCache>
            </c:strRef>
          </c:tx>
          <c:spPr>
            <a:solidFill>
              <a:srgbClr val="FFC000"/>
            </a:solidFill>
            <a:ln w="9525">
              <a:solidFill>
                <a:schemeClr val="accent6">
                  <a:lumMod val="75000"/>
                </a:schemeClr>
              </a:solidFill>
            </a:ln>
          </c:spPr>
          <c:dPt>
            <c:idx val="0"/>
            <c:bubble3D val="0"/>
            <c:explosion val="7"/>
            <c:spPr>
              <a:solidFill>
                <a:srgbClr val="00B0F0"/>
              </a:solidFill>
              <a:ln w="9525">
                <a:solidFill>
                  <a:schemeClr val="accent6">
                    <a:lumMod val="75000"/>
                  </a:schemeClr>
                </a:solidFill>
              </a:ln>
              <a:effectLst/>
            </c:spPr>
            <c:extLst>
              <c:ext xmlns:c16="http://schemas.microsoft.com/office/drawing/2014/chart" uri="{C3380CC4-5D6E-409C-BE32-E72D297353CC}">
                <c16:uniqueId val="{00000001-9525-4167-B32A-813BD9A4B9EC}"/>
              </c:ext>
            </c:extLst>
          </c:dPt>
          <c:dPt>
            <c:idx val="1"/>
            <c:bubble3D val="0"/>
            <c:explosion val="10"/>
            <c:spPr>
              <a:solidFill>
                <a:schemeClr val="accent6">
                  <a:lumMod val="75000"/>
                </a:schemeClr>
              </a:solidFill>
              <a:ln w="9525">
                <a:solidFill>
                  <a:schemeClr val="accent6">
                    <a:lumMod val="75000"/>
                  </a:schemeClr>
                </a:solidFill>
              </a:ln>
              <a:effectLst/>
            </c:spPr>
            <c:extLst>
              <c:ext xmlns:c16="http://schemas.microsoft.com/office/drawing/2014/chart" uri="{C3380CC4-5D6E-409C-BE32-E72D297353CC}">
                <c16:uniqueId val="{00000003-9525-4167-B32A-813BD9A4B9EC}"/>
              </c:ext>
            </c:extLst>
          </c:dPt>
          <c:dPt>
            <c:idx val="2"/>
            <c:bubble3D val="0"/>
            <c:explosion val="25"/>
            <c:spPr>
              <a:solidFill>
                <a:srgbClr val="C00000"/>
              </a:solidFill>
              <a:ln w="9525">
                <a:solidFill>
                  <a:schemeClr val="accent6">
                    <a:lumMod val="75000"/>
                  </a:schemeClr>
                </a:solidFill>
              </a:ln>
              <a:effectLst/>
            </c:spPr>
            <c:extLst>
              <c:ext xmlns:c16="http://schemas.microsoft.com/office/drawing/2014/chart" uri="{C3380CC4-5D6E-409C-BE32-E72D297353CC}">
                <c16:uniqueId val="{00000005-9525-4167-B32A-813BD9A4B9EC}"/>
              </c:ext>
            </c:extLst>
          </c:dPt>
          <c:dPt>
            <c:idx val="3"/>
            <c:bubble3D val="0"/>
            <c:explosion val="17"/>
            <c:spPr>
              <a:solidFill>
                <a:srgbClr val="0070C0"/>
              </a:solidFill>
              <a:ln w="9525">
                <a:solidFill>
                  <a:schemeClr val="accent6">
                    <a:lumMod val="75000"/>
                  </a:schemeClr>
                </a:solidFill>
              </a:ln>
              <a:effectLst/>
            </c:spPr>
            <c:extLst>
              <c:ext xmlns:c16="http://schemas.microsoft.com/office/drawing/2014/chart" uri="{C3380CC4-5D6E-409C-BE32-E72D297353CC}">
                <c16:uniqueId val="{00000007-EF3B-4002-ADAF-9AB1D9D52051}"/>
              </c:ext>
            </c:extLst>
          </c:dPt>
          <c:dPt>
            <c:idx val="4"/>
            <c:bubble3D val="0"/>
            <c:spPr>
              <a:solidFill>
                <a:schemeClr val="accent4">
                  <a:lumMod val="50000"/>
                </a:schemeClr>
              </a:solidFill>
              <a:ln w="9525">
                <a:solidFill>
                  <a:schemeClr val="accent6">
                    <a:lumMod val="75000"/>
                  </a:schemeClr>
                </a:solidFill>
              </a:ln>
              <a:effectLst/>
            </c:spPr>
            <c:extLst>
              <c:ext xmlns:c16="http://schemas.microsoft.com/office/drawing/2014/chart" uri="{C3380CC4-5D6E-409C-BE32-E72D297353CC}">
                <c16:uniqueId val="{00000009-EF3B-4002-ADAF-9AB1D9D52051}"/>
              </c:ext>
            </c:extLst>
          </c:dPt>
          <c:dPt>
            <c:idx val="5"/>
            <c:bubble3D val="0"/>
            <c:explosion val="10"/>
            <c:spPr>
              <a:solidFill>
                <a:srgbClr val="FFC000"/>
              </a:solidFill>
              <a:ln w="9525">
                <a:solidFill>
                  <a:schemeClr val="accent6">
                    <a:lumMod val="75000"/>
                  </a:schemeClr>
                </a:solidFill>
              </a:ln>
              <a:effectLst/>
            </c:spPr>
            <c:extLst>
              <c:ext xmlns:c16="http://schemas.microsoft.com/office/drawing/2014/chart" uri="{C3380CC4-5D6E-409C-BE32-E72D297353CC}">
                <c16:uniqueId val="{0000000B-EF3B-4002-ADAF-9AB1D9D52051}"/>
              </c:ext>
            </c:extLst>
          </c:dPt>
          <c:dLbls>
            <c:dLbl>
              <c:idx val="0"/>
              <c:layout>
                <c:manualLayout>
                  <c:x val="2.1334455082030735E-2"/>
                  <c:y val="-2.0447499612775265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9525-4167-B32A-813BD9A4B9EC}"/>
                </c:ext>
              </c:extLst>
            </c:dLbl>
            <c:dLbl>
              <c:idx val="1"/>
              <c:layout>
                <c:manualLayout>
                  <c:x val="3.3684114982038139E-2"/>
                  <c:y val="-4.919092907839157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9525-4167-B32A-813BD9A4B9EC}"/>
                </c:ext>
              </c:extLst>
            </c:dLbl>
            <c:dLbl>
              <c:idx val="2"/>
              <c:layout>
                <c:manualLayout>
                  <c:x val="7.877742104457254E-2"/>
                  <c:y val="4.2247998039642999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9525-4167-B32A-813BD9A4B9EC}"/>
                </c:ext>
              </c:extLst>
            </c:dLbl>
            <c:dLbl>
              <c:idx val="3"/>
              <c:layout>
                <c:manualLayout>
                  <c:x val="4.7651182937012426E-2"/>
                  <c:y val="-3.986296480949067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EF3B-4002-ADAF-9AB1D9D52051}"/>
                </c:ext>
              </c:extLst>
            </c:dLbl>
            <c:dLbl>
              <c:idx val="4"/>
              <c:layout>
                <c:manualLayout>
                  <c:x val="-0.20935671131859568"/>
                  <c:y val="7.3835368649810698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EF3B-4002-ADAF-9AB1D9D52051}"/>
                </c:ext>
              </c:extLst>
            </c:dLbl>
            <c:dLbl>
              <c:idx val="5"/>
              <c:layout>
                <c:manualLayout>
                  <c:x val="-3.3981586871421401E-2"/>
                  <c:y val="-6.3134069913298937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EF3B-4002-ADAF-9AB1D9D5205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 LTL'!$A$68:$A$74</c:f>
              <c:strCache>
                <c:ptCount val="6"/>
                <c:pt idx="0">
                  <c:v>NANG DONG</c:v>
                </c:pt>
                <c:pt idx="1">
                  <c:v>NETCO</c:v>
                </c:pt>
                <c:pt idx="2">
                  <c:v>NHAT QUANG</c:v>
                </c:pt>
                <c:pt idx="3">
                  <c:v>NHAT TIN</c:v>
                </c:pt>
                <c:pt idx="4">
                  <c:v>NHUT LIEN</c:v>
                </c:pt>
                <c:pt idx="5">
                  <c:v>TASETCO</c:v>
                </c:pt>
              </c:strCache>
            </c:strRef>
          </c:cat>
          <c:val>
            <c:numRef>
              <c:f>'CALCULATION- LTL'!$B$68:$B$74</c:f>
              <c:numCache>
                <c:formatCode>0.00%</c:formatCode>
                <c:ptCount val="6"/>
                <c:pt idx="0">
                  <c:v>0.14181824517575339</c:v>
                </c:pt>
                <c:pt idx="1">
                  <c:v>5.618939550589705E-2</c:v>
                </c:pt>
                <c:pt idx="2">
                  <c:v>3.5400634302308063E-3</c:v>
                </c:pt>
                <c:pt idx="3">
                  <c:v>0.12650452818446675</c:v>
                </c:pt>
                <c:pt idx="4">
                  <c:v>4.4698745924928546E-5</c:v>
                </c:pt>
                <c:pt idx="5">
                  <c:v>0.67190306895772689</c:v>
                </c:pt>
              </c:numCache>
            </c:numRef>
          </c:val>
          <c:extLst>
            <c:ext xmlns:c16="http://schemas.microsoft.com/office/drawing/2014/chart" uri="{C3380CC4-5D6E-409C-BE32-E72D297353CC}">
              <c16:uniqueId val="{00000006-9525-4167-B32A-813BD9A4B9E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 DAV Transportation Cost.xlsm]CALCULATION- DAVF!DAVF- TRANSFER TO BRANCH</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u="none" strike="noStrike" kern="1200" spc="0" baseline="0">
                <a:solidFill>
                  <a:schemeClr val="accent1">
                    <a:lumMod val="75000"/>
                  </a:schemeClr>
                </a:solidFill>
                <a:latin typeface="UTM Bebas" panose="02040603050506020204" pitchFamily="18" charset="0"/>
                <a:ea typeface="+mn-ea"/>
                <a:cs typeface="+mn-cs"/>
              </a:rPr>
              <a:t>COST</a:t>
            </a:r>
            <a:r>
              <a:rPr lang="en-US"/>
              <a:t> </a:t>
            </a:r>
            <a:r>
              <a:rPr lang="en-US" sz="1800" b="0" i="0" u="none" strike="noStrike" kern="1200" spc="0" baseline="0">
                <a:solidFill>
                  <a:schemeClr val="accent1">
                    <a:lumMod val="75000"/>
                  </a:schemeClr>
                </a:solidFill>
                <a:latin typeface="UTM Bebas" panose="02040603050506020204" pitchFamily="18" charset="0"/>
                <a:ea typeface="+mn-ea"/>
                <a:cs typeface="+mn-cs"/>
              </a:rPr>
              <a:t>USING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4"/>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2">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8575" cap="rnd">
            <a:solidFill>
              <a:schemeClr val="accent2"/>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28575" cap="rnd">
            <a:solidFill>
              <a:schemeClr val="accent3"/>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28575" cap="rnd">
            <a:solidFill>
              <a:sysClr val="windowText" lastClr="000000"/>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28575" cap="rnd">
            <a:solidFill>
              <a:schemeClr val="accent6"/>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28575" cap="rnd">
            <a:solidFill>
              <a:schemeClr val="accent2">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28575" cap="rnd">
            <a:solidFill>
              <a:schemeClr val="accent4"/>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28575" cap="rnd">
            <a:solidFill>
              <a:schemeClr val="accent3"/>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w="28575" cap="rnd">
            <a:solidFill>
              <a:sysClr val="windowText" lastClr="000000"/>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w="28575" cap="rnd">
            <a:solidFill>
              <a:schemeClr val="accent4"/>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1"/>
          </a:solidFill>
          <a:ln w="28575" cap="rnd">
            <a:solidFill>
              <a:schemeClr val="accent4"/>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solidFill>
          <a:ln w="28575" cap="rnd">
            <a:solidFill>
              <a:schemeClr val="accent4"/>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1"/>
          </a:solidFill>
          <a:ln w="28575" cap="rnd">
            <a:solidFill>
              <a:schemeClr val="accent4"/>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1"/>
          </a:solidFill>
          <a:ln w="28575" cap="rnd">
            <a:solidFill>
              <a:schemeClr val="accent2">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1"/>
          </a:solidFill>
          <a:ln w="28575" cap="rnd">
            <a:solidFill>
              <a:schemeClr val="accent2">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1"/>
          </a:solidFill>
          <a:ln w="28575" cap="rnd">
            <a:solidFill>
              <a:schemeClr val="accent2"/>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chemeClr val="accent1"/>
          </a:solidFill>
          <a:ln w="28575" cap="rnd">
            <a:solidFill>
              <a:schemeClr val="accent2"/>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chemeClr val="accent1"/>
          </a:solidFill>
          <a:ln w="28575" cap="rnd">
            <a:solidFill>
              <a:schemeClr val="accent4"/>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chemeClr val="accent1"/>
          </a:solidFill>
          <a:ln w="28575" cap="rnd">
            <a:solidFill>
              <a:schemeClr val="accent3"/>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1"/>
          </a:solidFill>
          <a:ln w="28575" cap="rnd">
            <a:solidFill>
              <a:schemeClr val="accent3"/>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chemeClr val="accent1"/>
          </a:solidFill>
          <a:ln w="28575" cap="rnd">
            <a:solidFill>
              <a:sysClr val="windowText" lastClr="000000"/>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chemeClr val="accent1"/>
          </a:solidFill>
          <a:ln w="28575" cap="rnd">
            <a:solidFill>
              <a:sysClr val="windowText" lastClr="000000"/>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8"/>
        <c:spPr>
          <a:solidFill>
            <a:schemeClr val="accent1"/>
          </a:solidFill>
          <a:ln w="28575" cap="rnd">
            <a:solidFill>
              <a:schemeClr val="accent6"/>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1"/>
          </a:solidFill>
          <a:ln w="28575" cap="rnd">
            <a:solidFill>
              <a:schemeClr val="accent6"/>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chemeClr val="accent1"/>
          </a:solidFill>
          <a:ln w="28575" cap="rnd">
            <a:solidFill>
              <a:schemeClr val="accent4"/>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accent1"/>
          </a:solidFill>
          <a:ln w="28575" cap="rnd">
            <a:solidFill>
              <a:schemeClr val="accent4"/>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2"/>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3"/>
        <c:spPr>
          <a:solidFill>
            <a:schemeClr val="accent1"/>
          </a:solidFill>
          <a:ln w="28575" cap="rnd">
            <a:solidFill>
              <a:schemeClr val="accent4"/>
            </a:solidFill>
            <a:round/>
          </a:ln>
          <a:effectLst/>
        </c:spPr>
        <c:marker>
          <c:symbol val="none"/>
        </c:marker>
        <c:dLbl>
          <c:idx val="0"/>
          <c:layout>
            <c:manualLayout>
              <c:x val="-8.334145256777574E-2"/>
              <c:y val="-7.0346734261267238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4"/>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2">
                <a:lumMod val="60000"/>
                <a:lumOff val="40000"/>
              </a:schemeClr>
            </a:solidFill>
            <a:round/>
          </a:ln>
          <a:effectLst/>
        </c:spPr>
        <c:marker>
          <c:symbol val="none"/>
        </c:marker>
        <c:dLbl>
          <c:idx val="0"/>
          <c:layout>
            <c:manualLayout>
              <c:x val="-7.9515549486203527E-2"/>
              <c:y val="-8.8028302545832049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lumMod val="60000"/>
                      <a:lumOff val="40000"/>
                    </a:schemeClr>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2"/>
            </a:solidFill>
            <a:round/>
          </a:ln>
          <a:effectLst/>
        </c:spPr>
        <c:marker>
          <c:symbol val="none"/>
        </c:marker>
        <c:dLbl>
          <c:idx val="0"/>
          <c:layout>
            <c:manualLayout>
              <c:x val="-4.8338684231091944E-2"/>
              <c:y val="-6.7333387450280058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9"/>
        <c:spPr>
          <a:solidFill>
            <a:schemeClr val="accent1"/>
          </a:solidFill>
          <a:ln w="28575" cap="rnd">
            <a:solidFill>
              <a:schemeClr val="accent1"/>
            </a:solidFill>
            <a:round/>
          </a:ln>
          <a:effectLst/>
        </c:spPr>
        <c:marker>
          <c:symbol val="none"/>
        </c:marker>
        <c:dLbl>
          <c:idx val="0"/>
          <c:layout>
            <c:manualLayout>
              <c:x val="-5.6243602644732438E-2"/>
              <c:y val="-6.2446627161295572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40"/>
        <c:spPr>
          <a:solidFill>
            <a:schemeClr val="accent1"/>
          </a:solidFill>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41"/>
        <c:spPr>
          <a:solidFill>
            <a:schemeClr val="accent1"/>
          </a:solidFill>
          <a:ln w="28575" cap="rnd">
            <a:solidFill>
              <a:schemeClr val="accent3"/>
            </a:solidFill>
            <a:round/>
          </a:ln>
          <a:effectLst/>
        </c:spPr>
        <c:marker>
          <c:symbol val="none"/>
        </c:marker>
        <c:dLbl>
          <c:idx val="0"/>
          <c:layout>
            <c:manualLayout>
              <c:x val="-4.7129734943299896E-2"/>
              <c:y val="-5.3360824742268054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42"/>
        <c:spPr>
          <a:solidFill>
            <a:schemeClr val="accent1"/>
          </a:solidFill>
          <a:ln w="28575" cap="rnd">
            <a:solidFill>
              <a:sysClr val="windowText" lastClr="0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43"/>
        <c:spPr>
          <a:solidFill>
            <a:schemeClr val="accent1"/>
          </a:solidFill>
          <a:ln w="28575" cap="rnd">
            <a:solidFill>
              <a:sysClr val="windowText" lastClr="000000"/>
            </a:solidFill>
            <a:round/>
          </a:ln>
          <a:effectLst/>
        </c:spPr>
        <c:marker>
          <c:symbol val="none"/>
        </c:marker>
        <c:dLbl>
          <c:idx val="0"/>
          <c:layout>
            <c:manualLayout>
              <c:x val="-9.3211214554392033E-2"/>
              <c:y val="-7.440398691507410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44"/>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dLblPos val="t"/>
          <c:showLegendKey val="0"/>
          <c:showVal val="0"/>
          <c:showCatName val="0"/>
          <c:showSerName val="1"/>
          <c:showPercent val="0"/>
          <c:showBubbleSize val="0"/>
          <c:extLst>
            <c:ext xmlns:c15="http://schemas.microsoft.com/office/drawing/2012/chart" uri="{CE6537A1-D6FC-4f65-9D91-7224C49458BB}"/>
          </c:extLst>
        </c:dLbl>
      </c:pivotFmt>
      <c:pivotFmt>
        <c:idx val="45"/>
        <c:spPr>
          <a:ln w="28575" cap="rnd">
            <a:solidFill>
              <a:schemeClr val="accent6"/>
            </a:solidFill>
            <a:round/>
          </a:ln>
          <a:effectLst/>
        </c:spPr>
        <c:marker>
          <c:symbol val="none"/>
        </c:marker>
        <c:dLbl>
          <c:idx val="0"/>
          <c:layout>
            <c:manualLayout>
              <c:x val="-8.4631044735644201E-2"/>
              <c:y val="-5.9340937896070999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dLblPos val="r"/>
          <c:showLegendKey val="0"/>
          <c:showVal val="0"/>
          <c:showCatName val="0"/>
          <c:showSerName val="1"/>
          <c:showPercent val="0"/>
          <c:showBubbleSize val="0"/>
          <c:extLst>
            <c:ext xmlns:c15="http://schemas.microsoft.com/office/drawing/2012/chart" uri="{CE6537A1-D6FC-4f65-9D91-7224C49458BB}"/>
          </c:extLst>
        </c:dLbl>
      </c:pivotFmt>
      <c:pivotFmt>
        <c:idx val="46"/>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lumMod val="60000"/>
                      <a:lumOff val="40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2"/>
      </c:pivotFmt>
      <c:pivotFmt>
        <c:idx val="53"/>
      </c:pivotFmt>
      <c:pivotFmt>
        <c:idx val="54"/>
        <c:spPr>
          <a:solidFill>
            <a:schemeClr val="accent1"/>
          </a:solidFill>
          <a:ln w="28575" cap="rnd">
            <a:solidFill>
              <a:sysClr val="windowText" lastClr="0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ysClr val="windowText" lastClr="0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4"/>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
        <c:idx val="57"/>
      </c:pivotFmt>
    </c:pivotFmts>
    <c:plotArea>
      <c:layout/>
      <c:lineChart>
        <c:grouping val="standard"/>
        <c:varyColors val="0"/>
        <c:ser>
          <c:idx val="0"/>
          <c:order val="0"/>
          <c:tx>
            <c:strRef>
              <c:f>'CALCULATION- DAVF'!$B$34:$B$35</c:f>
              <c:strCache>
                <c:ptCount val="1"/>
                <c:pt idx="0">
                  <c:v>TOTAL DAVF</c:v>
                </c:pt>
              </c:strCache>
            </c:strRef>
          </c:tx>
          <c:spPr>
            <a:ln w="28575" cap="rnd">
              <a:solidFill>
                <a:schemeClr val="accent6"/>
              </a:solidFill>
              <a:round/>
            </a:ln>
            <a:effectLst/>
          </c:spPr>
          <c:marker>
            <c:symbol val="none"/>
          </c:marker>
          <c:dPt>
            <c:idx val="0"/>
            <c:marker>
              <c:symbol val="none"/>
            </c:marker>
            <c:bubble3D val="0"/>
            <c:extLst>
              <c:ext xmlns:c16="http://schemas.microsoft.com/office/drawing/2014/chart" uri="{C3380CC4-5D6E-409C-BE32-E72D297353CC}">
                <c16:uniqueId val="{00000000-F811-416C-9283-14288CE2456B}"/>
              </c:ext>
            </c:extLst>
          </c:dPt>
          <c:dPt>
            <c:idx val="1"/>
            <c:marker>
              <c:symbol val="none"/>
            </c:marker>
            <c:bubble3D val="0"/>
            <c:extLst>
              <c:ext xmlns:c16="http://schemas.microsoft.com/office/drawing/2014/chart" uri="{C3380CC4-5D6E-409C-BE32-E72D297353CC}">
                <c16:uniqueId val="{00000001-F811-416C-9283-14288CE2456B}"/>
              </c:ext>
            </c:extLst>
          </c:dPt>
          <c:dPt>
            <c:idx val="2"/>
            <c:marker>
              <c:symbol val="none"/>
            </c:marker>
            <c:bubble3D val="0"/>
            <c:extLst>
              <c:ext xmlns:c16="http://schemas.microsoft.com/office/drawing/2014/chart" uri="{C3380CC4-5D6E-409C-BE32-E72D297353CC}">
                <c16:uniqueId val="{00000002-F811-416C-9283-14288CE2456B}"/>
              </c:ext>
            </c:extLst>
          </c:dPt>
          <c:dLbls>
            <c:dLbl>
              <c:idx val="0"/>
              <c:layout>
                <c:manualLayout>
                  <c:x val="-8.4631044735644201E-2"/>
                  <c:y val="-5.934093789607099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F811-416C-9283-14288CE2456B}"/>
                </c:ext>
              </c:extLst>
            </c:dLbl>
            <c:dLbl>
              <c:idx val="1"/>
              <c:delete val="1"/>
              <c:extLst>
                <c:ext xmlns:c15="http://schemas.microsoft.com/office/drawing/2012/chart" uri="{CE6537A1-D6FC-4f65-9D91-7224C49458BB}"/>
                <c:ext xmlns:c16="http://schemas.microsoft.com/office/drawing/2014/chart" uri="{C3380CC4-5D6E-409C-BE32-E72D297353CC}">
                  <c16:uniqueId val="{00000001-F811-416C-9283-14288CE2456B}"/>
                </c:ext>
              </c:extLst>
            </c:dLbl>
            <c:dLbl>
              <c:idx val="2"/>
              <c:delete val="1"/>
              <c:extLst>
                <c:ext xmlns:c15="http://schemas.microsoft.com/office/drawing/2012/chart" uri="{CE6537A1-D6FC-4f65-9D91-7224C49458BB}"/>
                <c:ext xmlns:c16="http://schemas.microsoft.com/office/drawing/2014/chart" uri="{C3380CC4-5D6E-409C-BE32-E72D297353CC}">
                  <c16:uniqueId val="{00000002-F811-416C-9283-14288CE2456B}"/>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DAVF'!$A$36:$A$41</c:f>
              <c:strCache>
                <c:ptCount val="5"/>
                <c:pt idx="0">
                  <c:v>4</c:v>
                </c:pt>
                <c:pt idx="1">
                  <c:v>5</c:v>
                </c:pt>
                <c:pt idx="2">
                  <c:v>6</c:v>
                </c:pt>
                <c:pt idx="3">
                  <c:v>7</c:v>
                </c:pt>
                <c:pt idx="4">
                  <c:v>8</c:v>
                </c:pt>
              </c:strCache>
            </c:strRef>
          </c:cat>
          <c:val>
            <c:numRef>
              <c:f>'CALCULATION- DAVF'!$B$36:$B$41</c:f>
              <c:numCache>
                <c:formatCode>_(* #,##0.00_);_(* \(#,##0.00\);_(* "-"??_);_(@_)</c:formatCode>
                <c:ptCount val="5"/>
                <c:pt idx="0">
                  <c:v>3555284094</c:v>
                </c:pt>
                <c:pt idx="1">
                  <c:v>2579586555</c:v>
                </c:pt>
                <c:pt idx="2">
                  <c:v>2279475316</c:v>
                </c:pt>
                <c:pt idx="3">
                  <c:v>867662488</c:v>
                </c:pt>
                <c:pt idx="4">
                  <c:v>860805087</c:v>
                </c:pt>
              </c:numCache>
            </c:numRef>
          </c:val>
          <c:smooth val="0"/>
          <c:extLst>
            <c:ext xmlns:c16="http://schemas.microsoft.com/office/drawing/2014/chart" uri="{C3380CC4-5D6E-409C-BE32-E72D297353CC}">
              <c16:uniqueId val="{00000003-F811-416C-9283-14288CE2456B}"/>
            </c:ext>
          </c:extLst>
        </c:ser>
        <c:dLbls>
          <c:showLegendKey val="0"/>
          <c:showVal val="0"/>
          <c:showCatName val="0"/>
          <c:showSerName val="0"/>
          <c:showPercent val="0"/>
          <c:showBubbleSize val="0"/>
        </c:dLbls>
        <c:smooth val="0"/>
        <c:axId val="974204512"/>
        <c:axId val="759855808"/>
      </c:lineChart>
      <c:catAx>
        <c:axId val="97420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855808"/>
        <c:crosses val="autoZero"/>
        <c:auto val="1"/>
        <c:lblAlgn val="ctr"/>
        <c:lblOffset val="100"/>
        <c:noMultiLvlLbl val="0"/>
      </c:catAx>
      <c:valAx>
        <c:axId val="759855808"/>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204512"/>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[Dashboard - DAV Transportation Cost.xlsm]CALCULATION- DAVF!DAVF- TI LE SU DUNG VENDOR</c:name>
    <c:fmtId val="8"/>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UTM Bebas" panose="02040603050506020204" pitchFamily="18" charset="0"/>
                <a:ea typeface="+mn-ea"/>
                <a:cs typeface="+mn-cs"/>
              </a:defRPr>
            </a:pPr>
            <a:r>
              <a:rPr lang="en-US" sz="1600" b="0" i="0">
                <a:solidFill>
                  <a:schemeClr val="accent1">
                    <a:lumMod val="75000"/>
                  </a:schemeClr>
                </a:solidFill>
                <a:latin typeface="UTM Bebas" panose="02040603050506020204" pitchFamily="18" charset="0"/>
              </a:rPr>
              <a:t>RATIO USING ( MIL)</a:t>
            </a:r>
          </a:p>
        </c:rich>
      </c:tx>
      <c:overlay val="0"/>
      <c:spPr>
        <a:noFill/>
        <a:ln>
          <a:noFill/>
        </a:ln>
        <a:effectLst/>
      </c:spPr>
    </c:title>
    <c:autoTitleDeleted val="0"/>
    <c:pivotFmts>
      <c:pivotFmt>
        <c:idx val="0"/>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8"/>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9"/>
        <c:spPr>
          <a:solidFill>
            <a:schemeClr val="accent5"/>
          </a:solidFill>
          <a:ln w="19050">
            <a:solidFill>
              <a:schemeClr val="lt1"/>
            </a:solidFill>
          </a:ln>
          <a:effectLst/>
        </c:spPr>
      </c:pivotFmt>
      <c:pivotFmt>
        <c:idx val="10"/>
        <c:spPr>
          <a:solidFill>
            <a:schemeClr val="accent5"/>
          </a:solidFill>
          <a:ln w="19050">
            <a:solidFill>
              <a:schemeClr val="lt1"/>
            </a:solidFill>
          </a:ln>
          <a:effectLst/>
        </c:spPr>
      </c:pivotFmt>
      <c:pivotFmt>
        <c:idx val="11"/>
        <c:spPr>
          <a:solidFill>
            <a:schemeClr val="accent5"/>
          </a:solidFill>
          <a:ln w="19050">
            <a:solidFill>
              <a:schemeClr val="lt1"/>
            </a:solidFill>
          </a:ln>
          <a:effectLst/>
        </c:spPr>
      </c:pivotFmt>
      <c:pivotFmt>
        <c:idx val="12"/>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5"/>
          </a:solidFill>
          <a:ln w="19050">
            <a:solidFill>
              <a:schemeClr val="lt1"/>
            </a:solidFill>
          </a:ln>
          <a:effectLst/>
        </c:spPr>
      </c:pivotFmt>
      <c:pivotFmt>
        <c:idx val="14"/>
        <c:spPr>
          <a:solidFill>
            <a:schemeClr val="accent5"/>
          </a:solidFill>
          <a:ln w="19050">
            <a:solidFill>
              <a:schemeClr val="lt1"/>
            </a:solidFill>
          </a:ln>
          <a:effectLst/>
        </c:spPr>
      </c:pivotFmt>
      <c:pivotFmt>
        <c:idx val="15"/>
        <c:spPr>
          <a:solidFill>
            <a:schemeClr val="accent5"/>
          </a:solidFill>
          <a:ln w="19050">
            <a:solidFill>
              <a:schemeClr val="lt1"/>
            </a:solidFill>
          </a:ln>
          <a:effectLst/>
        </c:spPr>
      </c:pivotFmt>
      <c:pivotFmt>
        <c:idx val="16"/>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7"/>
        <c:spPr>
          <a:solidFill>
            <a:schemeClr val="accent5"/>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solidFill>
          <a:ln w="19050">
            <a:solidFill>
              <a:schemeClr val="lt1"/>
            </a:solidFill>
          </a:ln>
          <a:effectLst/>
        </c:spPr>
      </c:pivotFmt>
      <c:pivotFmt>
        <c:idx val="20"/>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1"/>
        <c:spPr>
          <a:solidFill>
            <a:schemeClr val="accent5"/>
          </a:solidFill>
          <a:ln w="19050">
            <a:solidFill>
              <a:schemeClr val="lt1"/>
            </a:solidFill>
          </a:ln>
          <a:effectLst/>
        </c:spPr>
      </c:pivotFmt>
      <c:pivotFmt>
        <c:idx val="22"/>
        <c:spPr>
          <a:solidFill>
            <a:schemeClr val="accent5"/>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5"/>
        <c:spPr>
          <a:solidFill>
            <a:schemeClr val="accent5"/>
          </a:solidFill>
          <a:ln w="19050">
            <a:solidFill>
              <a:schemeClr val="lt1"/>
            </a:solidFill>
          </a:ln>
          <a:effectLst/>
        </c:spPr>
      </c:pivotFmt>
      <c:pivotFmt>
        <c:idx val="26"/>
        <c:spPr>
          <a:solidFill>
            <a:schemeClr val="accent5"/>
          </a:solidFill>
          <a:ln w="19050">
            <a:solidFill>
              <a:schemeClr val="lt1"/>
            </a:solidFill>
          </a:ln>
          <a:effectLst/>
        </c:spPr>
      </c:pivotFmt>
      <c:pivotFmt>
        <c:idx val="27"/>
        <c:spPr>
          <a:solidFill>
            <a:schemeClr val="accent5"/>
          </a:solidFill>
          <a:ln w="19050">
            <a:solidFill>
              <a:schemeClr val="lt1"/>
            </a:solidFill>
          </a:ln>
          <a:effectLst/>
        </c:spPr>
      </c:pivotFmt>
      <c:pivotFmt>
        <c:idx val="28"/>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9"/>
        <c:spPr>
          <a:solidFill>
            <a:schemeClr val="accent5"/>
          </a:solidFill>
          <a:ln w="19050">
            <a:solidFill>
              <a:schemeClr val="lt1"/>
            </a:solidFill>
          </a:ln>
          <a:effectLst/>
        </c:spPr>
      </c:pivotFmt>
      <c:pivotFmt>
        <c:idx val="30"/>
        <c:spPr>
          <a:solidFill>
            <a:schemeClr val="accent5"/>
          </a:solidFill>
          <a:ln w="19050">
            <a:solidFill>
              <a:schemeClr val="lt1"/>
            </a:solidFill>
          </a:ln>
          <a:effectLst/>
        </c:spPr>
      </c:pivotFmt>
      <c:pivotFmt>
        <c:idx val="31"/>
        <c:spPr>
          <a:solidFill>
            <a:schemeClr val="accent5"/>
          </a:solidFill>
          <a:ln w="19050">
            <a:solidFill>
              <a:schemeClr val="lt1"/>
            </a:solidFill>
          </a:ln>
          <a:effectLst/>
        </c:spPr>
      </c:pivotFmt>
      <c:pivotFmt>
        <c:idx val="32"/>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3"/>
        <c:spPr>
          <a:solidFill>
            <a:schemeClr val="accent5"/>
          </a:solidFill>
          <a:ln w="19050">
            <a:solidFill>
              <a:schemeClr val="lt1"/>
            </a:solidFill>
          </a:ln>
          <a:effectLst/>
        </c:spPr>
      </c:pivotFmt>
      <c:pivotFmt>
        <c:idx val="34"/>
        <c:spPr>
          <a:solidFill>
            <a:schemeClr val="accent5"/>
          </a:solidFill>
          <a:ln w="19050">
            <a:solidFill>
              <a:schemeClr val="lt1"/>
            </a:solidFill>
          </a:ln>
          <a:effectLst/>
        </c:spPr>
      </c:pivotFmt>
      <c:pivotFmt>
        <c:idx val="35"/>
        <c:spPr>
          <a:solidFill>
            <a:schemeClr val="accent5"/>
          </a:solidFill>
          <a:ln w="19050">
            <a:solidFill>
              <a:schemeClr val="lt1"/>
            </a:solidFill>
          </a:ln>
          <a:effectLst/>
        </c:spPr>
      </c:pivotFmt>
      <c:pivotFmt>
        <c:idx val="36"/>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7"/>
        <c:spPr>
          <a:solidFill>
            <a:schemeClr val="accent5"/>
          </a:solidFill>
          <a:ln w="19050">
            <a:solidFill>
              <a:schemeClr val="lt1"/>
            </a:solidFill>
          </a:ln>
          <a:effectLst/>
        </c:spPr>
      </c:pivotFmt>
      <c:pivotFmt>
        <c:idx val="38"/>
        <c:spPr>
          <a:solidFill>
            <a:schemeClr val="accent5"/>
          </a:solidFill>
          <a:ln w="19050">
            <a:solidFill>
              <a:schemeClr val="lt1"/>
            </a:solidFill>
          </a:ln>
          <a:effectLst/>
        </c:spPr>
      </c:pivotFmt>
      <c:pivotFmt>
        <c:idx val="39"/>
        <c:spPr>
          <a:solidFill>
            <a:schemeClr val="accent5"/>
          </a:solidFill>
          <a:ln w="19050">
            <a:solidFill>
              <a:schemeClr val="lt1"/>
            </a:solidFill>
          </a:ln>
          <a:effectLst/>
        </c:spPr>
      </c:pivotFmt>
      <c:pivotFmt>
        <c:idx val="4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5"/>
          </a:solidFill>
          <a:ln w="19050">
            <a:solidFill>
              <a:schemeClr val="lt1"/>
            </a:solidFill>
          </a:ln>
          <a:effectLst/>
        </c:spPr>
      </c:pivotFmt>
      <c:pivotFmt>
        <c:idx val="42"/>
        <c:spPr>
          <a:solidFill>
            <a:schemeClr val="accent5"/>
          </a:solidFill>
          <a:ln w="19050">
            <a:solidFill>
              <a:schemeClr val="lt1"/>
            </a:solidFill>
          </a:ln>
          <a:effectLst/>
        </c:spPr>
      </c:pivotFmt>
      <c:pivotFmt>
        <c:idx val="43"/>
        <c:spPr>
          <a:solidFill>
            <a:schemeClr val="accent5"/>
          </a:solidFill>
          <a:ln w="19050">
            <a:solidFill>
              <a:schemeClr val="lt1"/>
            </a:solidFill>
          </a:ln>
          <a:effectLst/>
        </c:spPr>
      </c:pivotFmt>
      <c:pivotFmt>
        <c:idx val="44"/>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5"/>
        <c:spPr>
          <a:solidFill>
            <a:schemeClr val="accent5"/>
          </a:solidFill>
          <a:ln w="19050">
            <a:solidFill>
              <a:schemeClr val="lt1"/>
            </a:solidFill>
          </a:ln>
          <a:effectLst/>
        </c:spPr>
      </c:pivotFmt>
      <c:pivotFmt>
        <c:idx val="46"/>
        <c:spPr>
          <a:solidFill>
            <a:schemeClr val="accent5"/>
          </a:solidFill>
          <a:ln w="19050">
            <a:solidFill>
              <a:schemeClr val="lt1"/>
            </a:solidFill>
          </a:ln>
          <a:effectLst/>
        </c:spPr>
      </c:pivotFmt>
      <c:pivotFmt>
        <c:idx val="47"/>
        <c:spPr>
          <a:solidFill>
            <a:schemeClr val="accent5"/>
          </a:solidFill>
          <a:ln w="19050">
            <a:solidFill>
              <a:schemeClr val="lt1"/>
            </a:solidFill>
          </a:ln>
          <a:effectLst/>
        </c:spPr>
      </c:pivotFmt>
      <c:pivotFmt>
        <c:idx val="48"/>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9"/>
        <c:spPr>
          <a:solidFill>
            <a:schemeClr val="accent5"/>
          </a:solidFill>
          <a:ln w="19050">
            <a:solidFill>
              <a:schemeClr val="lt1"/>
            </a:solidFill>
          </a:ln>
          <a:effectLst/>
        </c:spPr>
      </c:pivotFmt>
      <c:pivotFmt>
        <c:idx val="50"/>
        <c:spPr>
          <a:solidFill>
            <a:schemeClr val="accent5"/>
          </a:solidFill>
          <a:ln w="19050">
            <a:solidFill>
              <a:schemeClr val="lt1"/>
            </a:solidFill>
          </a:ln>
          <a:effectLst/>
        </c:spPr>
      </c:pivotFmt>
      <c:pivotFmt>
        <c:idx val="51"/>
        <c:spPr>
          <a:solidFill>
            <a:schemeClr val="accent5"/>
          </a:solidFill>
          <a:ln w="19050">
            <a:solidFill>
              <a:schemeClr val="lt1"/>
            </a:solidFill>
          </a:ln>
          <a:effectLst/>
        </c:spPr>
      </c:pivotFmt>
      <c:pivotFmt>
        <c:idx val="52"/>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3"/>
        <c:spPr>
          <a:solidFill>
            <a:schemeClr val="accent5"/>
          </a:solidFill>
          <a:ln w="19050">
            <a:solidFill>
              <a:schemeClr val="lt1"/>
            </a:solidFill>
          </a:ln>
          <a:effectLst/>
        </c:spPr>
      </c:pivotFmt>
      <c:pivotFmt>
        <c:idx val="54"/>
        <c:spPr>
          <a:solidFill>
            <a:schemeClr val="accent5"/>
          </a:solidFill>
          <a:ln w="19050">
            <a:solidFill>
              <a:schemeClr val="lt1"/>
            </a:solidFill>
          </a:ln>
          <a:effectLst/>
        </c:spPr>
      </c:pivotFmt>
      <c:pivotFmt>
        <c:idx val="55"/>
        <c:spPr>
          <a:solidFill>
            <a:schemeClr val="accent5"/>
          </a:solidFill>
          <a:ln w="19050">
            <a:solidFill>
              <a:schemeClr val="lt1"/>
            </a:solidFill>
          </a:ln>
          <a:effectLst/>
        </c:spPr>
      </c:pivotFmt>
      <c:pivotFmt>
        <c:idx val="56"/>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7"/>
        <c:spPr>
          <a:solidFill>
            <a:schemeClr val="accent5"/>
          </a:solidFill>
          <a:ln w="19050">
            <a:solidFill>
              <a:schemeClr val="lt1"/>
            </a:solidFill>
          </a:ln>
          <a:effectLst/>
        </c:spPr>
      </c:pivotFmt>
      <c:pivotFmt>
        <c:idx val="58"/>
        <c:spPr>
          <a:solidFill>
            <a:schemeClr val="accent5"/>
          </a:solidFill>
          <a:ln w="19050">
            <a:solidFill>
              <a:schemeClr val="lt1"/>
            </a:solidFill>
          </a:ln>
          <a:effectLst/>
        </c:spPr>
      </c:pivotFmt>
      <c:pivotFmt>
        <c:idx val="59"/>
        <c:spPr>
          <a:solidFill>
            <a:schemeClr val="accent5"/>
          </a:solidFill>
          <a:ln w="19050">
            <a:solidFill>
              <a:schemeClr val="lt1"/>
            </a:solidFill>
          </a:ln>
          <a:effectLst/>
        </c:spPr>
      </c:pivotFmt>
      <c:pivotFmt>
        <c:idx val="60"/>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1"/>
        <c:spPr>
          <a:solidFill>
            <a:schemeClr val="accent5"/>
          </a:solidFill>
          <a:ln w="19050">
            <a:solidFill>
              <a:schemeClr val="lt1"/>
            </a:solidFill>
          </a:ln>
          <a:effectLst/>
        </c:spPr>
      </c:pivotFmt>
      <c:pivotFmt>
        <c:idx val="62"/>
        <c:spPr>
          <a:solidFill>
            <a:schemeClr val="accent5"/>
          </a:solidFill>
          <a:ln w="19050">
            <a:solidFill>
              <a:schemeClr val="lt1"/>
            </a:solidFill>
          </a:ln>
          <a:effectLst/>
        </c:spPr>
      </c:pivotFmt>
      <c:pivotFmt>
        <c:idx val="63"/>
        <c:spPr>
          <a:solidFill>
            <a:schemeClr val="accent5"/>
          </a:solidFill>
          <a:ln w="19050">
            <a:solidFill>
              <a:schemeClr val="lt1"/>
            </a:solidFill>
          </a:ln>
          <a:effectLst/>
        </c:spPr>
      </c:pivotFmt>
      <c:pivotFmt>
        <c:idx val="64"/>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5"/>
        <c:spPr>
          <a:solidFill>
            <a:schemeClr val="accent5"/>
          </a:solidFill>
          <a:ln w="19050">
            <a:solidFill>
              <a:schemeClr val="lt1"/>
            </a:solidFill>
          </a:ln>
          <a:effectLst/>
        </c:spPr>
      </c:pivotFmt>
      <c:pivotFmt>
        <c:idx val="66"/>
        <c:spPr>
          <a:solidFill>
            <a:schemeClr val="accent5"/>
          </a:solidFill>
          <a:ln w="19050">
            <a:solidFill>
              <a:schemeClr val="lt1"/>
            </a:solidFill>
          </a:ln>
          <a:effectLst/>
        </c:spPr>
      </c:pivotFmt>
      <c:pivotFmt>
        <c:idx val="67"/>
        <c:spPr>
          <a:solidFill>
            <a:schemeClr val="accent5"/>
          </a:solidFill>
          <a:ln w="19050">
            <a:solidFill>
              <a:schemeClr val="lt1"/>
            </a:solidFill>
          </a:ln>
          <a:effectLst/>
        </c:spPr>
      </c:pivotFmt>
      <c:pivotFmt>
        <c:idx val="68"/>
        <c:spPr>
          <a:solidFill>
            <a:schemeClr val="accent5"/>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9"/>
        <c:spPr>
          <a:solidFill>
            <a:schemeClr val="accent5"/>
          </a:solidFill>
          <a:ln w="19050">
            <a:solidFill>
              <a:schemeClr val="lt1"/>
            </a:solidFill>
          </a:ln>
          <a:effectLst/>
        </c:spPr>
      </c:pivotFmt>
      <c:pivotFmt>
        <c:idx val="70"/>
        <c:spPr>
          <a:solidFill>
            <a:schemeClr val="accent5"/>
          </a:solidFill>
          <a:ln w="19050">
            <a:solidFill>
              <a:schemeClr val="lt1"/>
            </a:solidFill>
          </a:ln>
          <a:effectLst/>
        </c:spPr>
      </c:pivotFmt>
      <c:pivotFmt>
        <c:idx val="71"/>
        <c:spPr>
          <a:solidFill>
            <a:schemeClr val="accent5"/>
          </a:solidFill>
          <a:ln w="19050">
            <a:solidFill>
              <a:schemeClr val="lt1"/>
            </a:solidFill>
          </a:ln>
          <a:effectLst/>
        </c:spPr>
      </c:pivotFmt>
      <c:pivotFmt>
        <c:idx val="72"/>
        <c:spPr>
          <a:solidFill>
            <a:srgbClr val="FFC000"/>
          </a:solidFill>
          <a:ln w="9525">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3"/>
        <c:spPr>
          <a:solidFill>
            <a:srgbClr val="00B0F0"/>
          </a:solidFill>
          <a:ln w="9525">
            <a:solidFill>
              <a:schemeClr val="accent6">
                <a:lumMod val="75000"/>
              </a:schemeClr>
            </a:solidFill>
          </a:ln>
          <a:effectLst/>
        </c:spPr>
        <c:dLbl>
          <c:idx val="0"/>
          <c:layout>
            <c:manualLayout>
              <c:x val="2.1334455082030735E-2"/>
              <c:y val="-2.04474996127752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4"/>
        <c:spPr>
          <a:solidFill>
            <a:schemeClr val="accent6">
              <a:lumMod val="75000"/>
            </a:schemeClr>
          </a:solidFill>
          <a:ln w="9525">
            <a:solidFill>
              <a:schemeClr val="accent6">
                <a:lumMod val="75000"/>
              </a:schemeClr>
            </a:solidFill>
          </a:ln>
          <a:effectLst/>
        </c:spPr>
        <c:dLbl>
          <c:idx val="0"/>
          <c:layout>
            <c:manualLayout>
              <c:x val="3.3684114982038139E-2"/>
              <c:y val="-4.91909290783915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5"/>
        <c:spPr>
          <a:solidFill>
            <a:srgbClr val="C00000"/>
          </a:solidFill>
          <a:ln w="9525">
            <a:solidFill>
              <a:schemeClr val="accent6">
                <a:lumMod val="75000"/>
              </a:schemeClr>
            </a:solidFill>
          </a:ln>
          <a:effectLst/>
        </c:spPr>
        <c:dLbl>
          <c:idx val="0"/>
          <c:layout>
            <c:manualLayout>
              <c:x val="7.877742104457254E-2"/>
              <c:y val="4.224799803964299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6"/>
        <c:spPr>
          <a:solidFill>
            <a:srgbClr val="0070C0"/>
          </a:solidFill>
          <a:ln w="9525">
            <a:solidFill>
              <a:schemeClr val="accent6">
                <a:lumMod val="75000"/>
              </a:schemeClr>
            </a:solidFill>
          </a:ln>
          <a:effectLst/>
        </c:spPr>
        <c:dLbl>
          <c:idx val="0"/>
          <c:layout>
            <c:manualLayout>
              <c:x val="4.7651182937012426E-2"/>
              <c:y val="-3.986296480949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7"/>
        <c:spPr>
          <a:solidFill>
            <a:schemeClr val="accent4">
              <a:lumMod val="50000"/>
            </a:schemeClr>
          </a:solidFill>
          <a:ln w="9525">
            <a:solidFill>
              <a:schemeClr val="accent6">
                <a:lumMod val="75000"/>
              </a:schemeClr>
            </a:solidFill>
          </a:ln>
          <a:effectLst/>
        </c:spPr>
        <c:dLbl>
          <c:idx val="0"/>
          <c:layout>
            <c:manualLayout>
              <c:x val="-0.20935671131859568"/>
              <c:y val="7.383536864981069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8"/>
        <c:spPr>
          <a:solidFill>
            <a:srgbClr val="FFC000"/>
          </a:solidFill>
          <a:ln w="9525">
            <a:solidFill>
              <a:schemeClr val="accent6">
                <a:lumMod val="75000"/>
              </a:schemeClr>
            </a:solidFill>
          </a:ln>
          <a:effectLst/>
        </c:spPr>
        <c:dLbl>
          <c:idx val="0"/>
          <c:layout>
            <c:manualLayout>
              <c:x val="-3.3981586871421401E-2"/>
              <c:y val="-6.31340699132989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9"/>
        <c:spPr>
          <a:solidFill>
            <a:srgbClr val="FFC000"/>
          </a:solidFill>
          <a:ln w="9525">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0"/>
        <c:spPr>
          <a:solidFill>
            <a:srgbClr val="00B0F0"/>
          </a:solidFill>
          <a:ln w="9525">
            <a:solidFill>
              <a:schemeClr val="accent6">
                <a:lumMod val="75000"/>
              </a:schemeClr>
            </a:solidFill>
          </a:ln>
          <a:effectLst/>
        </c:spPr>
        <c:dLbl>
          <c:idx val="0"/>
          <c:layout>
            <c:manualLayout>
              <c:x val="2.1334455082030735E-2"/>
              <c:y val="-2.04474996127752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1"/>
        <c:spPr>
          <a:solidFill>
            <a:schemeClr val="accent6">
              <a:lumMod val="75000"/>
            </a:schemeClr>
          </a:solidFill>
          <a:ln w="9525">
            <a:solidFill>
              <a:schemeClr val="accent6">
                <a:lumMod val="75000"/>
              </a:schemeClr>
            </a:solidFill>
          </a:ln>
          <a:effectLst/>
        </c:spPr>
        <c:dLbl>
          <c:idx val="0"/>
          <c:layout>
            <c:manualLayout>
              <c:x val="3.3684114982038139E-2"/>
              <c:y val="-4.91909290783915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2"/>
        <c:spPr>
          <a:solidFill>
            <a:srgbClr val="C00000"/>
          </a:solidFill>
          <a:ln w="9525">
            <a:solidFill>
              <a:schemeClr val="accent6">
                <a:lumMod val="75000"/>
              </a:schemeClr>
            </a:solidFill>
          </a:ln>
          <a:effectLst/>
        </c:spPr>
        <c:dLbl>
          <c:idx val="0"/>
          <c:layout>
            <c:manualLayout>
              <c:x val="7.877742104457254E-2"/>
              <c:y val="4.224799803964299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3"/>
        <c:spPr>
          <a:solidFill>
            <a:srgbClr val="0070C0"/>
          </a:solidFill>
          <a:ln w="9525">
            <a:solidFill>
              <a:schemeClr val="accent6">
                <a:lumMod val="75000"/>
              </a:schemeClr>
            </a:solidFill>
          </a:ln>
          <a:effectLst/>
        </c:spPr>
        <c:dLbl>
          <c:idx val="0"/>
          <c:layout>
            <c:manualLayout>
              <c:x val="4.7651182937012426E-2"/>
              <c:y val="-3.986296480949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4"/>
        <c:spPr>
          <a:solidFill>
            <a:schemeClr val="accent4">
              <a:lumMod val="50000"/>
            </a:schemeClr>
          </a:solidFill>
          <a:ln w="9525">
            <a:solidFill>
              <a:schemeClr val="accent6">
                <a:lumMod val="75000"/>
              </a:schemeClr>
            </a:solidFill>
          </a:ln>
          <a:effectLst/>
        </c:spPr>
        <c:dLbl>
          <c:idx val="0"/>
          <c:layout>
            <c:manualLayout>
              <c:x val="-0.20935671131859568"/>
              <c:y val="7.383536864981069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5"/>
        <c:spPr>
          <a:solidFill>
            <a:srgbClr val="FFC000"/>
          </a:solidFill>
          <a:ln w="9525">
            <a:solidFill>
              <a:schemeClr val="accent6">
                <a:lumMod val="75000"/>
              </a:schemeClr>
            </a:solidFill>
          </a:ln>
          <a:effectLst/>
        </c:spPr>
        <c:dLbl>
          <c:idx val="0"/>
          <c:layout>
            <c:manualLayout>
              <c:x val="-3.3981586871421401E-2"/>
              <c:y val="-6.31340699132989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6"/>
        <c:spPr>
          <a:solidFill>
            <a:srgbClr val="FFC000"/>
          </a:solidFill>
          <a:ln w="9525">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7"/>
        <c:spPr>
          <a:solidFill>
            <a:srgbClr val="00B0F0"/>
          </a:solidFill>
          <a:ln w="9525">
            <a:solidFill>
              <a:schemeClr val="accent6">
                <a:lumMod val="75000"/>
              </a:schemeClr>
            </a:solidFill>
          </a:ln>
          <a:effectLst/>
        </c:spPr>
        <c:dLbl>
          <c:idx val="0"/>
          <c:layout>
            <c:manualLayout>
              <c:x val="2.1334455082030735E-2"/>
              <c:y val="-2.04474996127752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8"/>
        <c:spPr>
          <a:solidFill>
            <a:schemeClr val="accent6">
              <a:lumMod val="75000"/>
            </a:schemeClr>
          </a:solidFill>
          <a:ln w="9525">
            <a:solidFill>
              <a:schemeClr val="accent6">
                <a:lumMod val="75000"/>
              </a:schemeClr>
            </a:solidFill>
          </a:ln>
          <a:effectLst/>
        </c:spPr>
        <c:dLbl>
          <c:idx val="0"/>
          <c:layout>
            <c:manualLayout>
              <c:x val="3.3684114982038139E-2"/>
              <c:y val="-4.91909290783915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9"/>
        <c:spPr>
          <a:solidFill>
            <a:srgbClr val="C00000"/>
          </a:solidFill>
          <a:ln w="9525">
            <a:solidFill>
              <a:schemeClr val="accent6">
                <a:lumMod val="75000"/>
              </a:schemeClr>
            </a:solidFill>
          </a:ln>
          <a:effectLst/>
        </c:spPr>
        <c:dLbl>
          <c:idx val="0"/>
          <c:layout>
            <c:manualLayout>
              <c:x val="7.877742104457254E-2"/>
              <c:y val="4.224799803964299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0"/>
        <c:spPr>
          <a:solidFill>
            <a:srgbClr val="0070C0"/>
          </a:solidFill>
          <a:ln w="9525">
            <a:solidFill>
              <a:schemeClr val="accent6">
                <a:lumMod val="75000"/>
              </a:schemeClr>
            </a:solidFill>
          </a:ln>
          <a:effectLst/>
        </c:spPr>
        <c:dLbl>
          <c:idx val="0"/>
          <c:layout>
            <c:manualLayout>
              <c:x val="4.7651182937012426E-2"/>
              <c:y val="-3.986296480949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1"/>
        <c:spPr>
          <a:solidFill>
            <a:schemeClr val="accent4">
              <a:lumMod val="50000"/>
            </a:schemeClr>
          </a:solidFill>
          <a:ln w="9525">
            <a:solidFill>
              <a:schemeClr val="accent6">
                <a:lumMod val="75000"/>
              </a:schemeClr>
            </a:solidFill>
          </a:ln>
          <a:effectLst/>
        </c:spPr>
        <c:dLbl>
          <c:idx val="0"/>
          <c:layout>
            <c:manualLayout>
              <c:x val="-0.20935671131859568"/>
              <c:y val="7.383536864981069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2"/>
        <c:spPr>
          <a:solidFill>
            <a:srgbClr val="FFC000"/>
          </a:solidFill>
          <a:ln w="9525">
            <a:solidFill>
              <a:schemeClr val="accent6">
                <a:lumMod val="75000"/>
              </a:schemeClr>
            </a:solidFill>
          </a:ln>
          <a:effectLst/>
        </c:spPr>
        <c:dLbl>
          <c:idx val="0"/>
          <c:layout>
            <c:manualLayout>
              <c:x val="-3.3981586871421401E-2"/>
              <c:y val="-6.31340699132989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3"/>
        <c:spPr>
          <a:solidFill>
            <a:srgbClr val="FFC000"/>
          </a:solidFill>
          <a:ln w="9525">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4"/>
        <c:spPr>
          <a:solidFill>
            <a:srgbClr val="00B0F0"/>
          </a:solidFill>
          <a:ln w="9525">
            <a:solidFill>
              <a:schemeClr val="accent6">
                <a:lumMod val="75000"/>
              </a:schemeClr>
            </a:solidFill>
          </a:ln>
          <a:effectLst/>
        </c:spPr>
        <c:dLbl>
          <c:idx val="0"/>
          <c:layout>
            <c:manualLayout>
              <c:x val="2.1334455082030735E-2"/>
              <c:y val="-2.04474996127752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5"/>
        <c:spPr>
          <a:solidFill>
            <a:schemeClr val="accent6">
              <a:lumMod val="75000"/>
            </a:schemeClr>
          </a:solidFill>
          <a:ln w="9525">
            <a:solidFill>
              <a:schemeClr val="accent6">
                <a:lumMod val="75000"/>
              </a:schemeClr>
            </a:solidFill>
          </a:ln>
          <a:effectLst/>
        </c:spPr>
        <c:dLbl>
          <c:idx val="0"/>
          <c:layout>
            <c:manualLayout>
              <c:x val="3.3684114982038139E-2"/>
              <c:y val="-4.91909290783915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6"/>
        <c:spPr>
          <a:solidFill>
            <a:srgbClr val="C00000"/>
          </a:solidFill>
          <a:ln w="9525">
            <a:solidFill>
              <a:schemeClr val="accent6">
                <a:lumMod val="75000"/>
              </a:schemeClr>
            </a:solidFill>
          </a:ln>
          <a:effectLst/>
        </c:spPr>
        <c:dLbl>
          <c:idx val="0"/>
          <c:layout>
            <c:manualLayout>
              <c:x val="7.877742104457254E-2"/>
              <c:y val="4.224799803964299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7"/>
        <c:spPr>
          <a:solidFill>
            <a:srgbClr val="0070C0"/>
          </a:solidFill>
          <a:ln w="9525">
            <a:solidFill>
              <a:schemeClr val="accent6">
                <a:lumMod val="75000"/>
              </a:schemeClr>
            </a:solidFill>
          </a:ln>
          <a:effectLst/>
        </c:spPr>
        <c:dLbl>
          <c:idx val="0"/>
          <c:layout>
            <c:manualLayout>
              <c:x val="4.7651182937012426E-2"/>
              <c:y val="-3.986296480949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8"/>
        <c:spPr>
          <a:solidFill>
            <a:schemeClr val="accent4">
              <a:lumMod val="50000"/>
            </a:schemeClr>
          </a:solidFill>
          <a:ln w="9525">
            <a:solidFill>
              <a:schemeClr val="accent6">
                <a:lumMod val="75000"/>
              </a:schemeClr>
            </a:solidFill>
          </a:ln>
          <a:effectLst/>
        </c:spPr>
        <c:dLbl>
          <c:idx val="0"/>
          <c:layout>
            <c:manualLayout>
              <c:x val="-0.20935671131859568"/>
              <c:y val="7.383536864981069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9"/>
        <c:spPr>
          <a:solidFill>
            <a:srgbClr val="FFC000"/>
          </a:solidFill>
          <a:ln w="9525">
            <a:solidFill>
              <a:schemeClr val="accent6">
                <a:lumMod val="75000"/>
              </a:schemeClr>
            </a:solidFill>
          </a:ln>
          <a:effectLst/>
        </c:spPr>
        <c:dLbl>
          <c:idx val="0"/>
          <c:layout>
            <c:manualLayout>
              <c:x val="-3.3981586871421401E-2"/>
              <c:y val="-6.31340699132989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0"/>
        <c:spPr>
          <a:solidFill>
            <a:srgbClr val="FFC000"/>
          </a:solidFill>
          <a:ln w="9525">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1"/>
        <c:spPr>
          <a:solidFill>
            <a:srgbClr val="00B0F0"/>
          </a:solidFill>
          <a:ln w="9525">
            <a:solidFill>
              <a:schemeClr val="accent6">
                <a:lumMod val="75000"/>
              </a:schemeClr>
            </a:solidFill>
          </a:ln>
          <a:effectLst/>
        </c:spPr>
        <c:dLbl>
          <c:idx val="0"/>
          <c:layout>
            <c:manualLayout>
              <c:x val="2.1334455082030735E-2"/>
              <c:y val="-2.04474996127752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2"/>
        <c:spPr>
          <a:solidFill>
            <a:schemeClr val="accent6">
              <a:lumMod val="75000"/>
            </a:schemeClr>
          </a:solidFill>
          <a:ln w="9525">
            <a:solidFill>
              <a:schemeClr val="accent6">
                <a:lumMod val="75000"/>
              </a:schemeClr>
            </a:solidFill>
          </a:ln>
          <a:effectLst/>
        </c:spPr>
        <c:dLbl>
          <c:idx val="0"/>
          <c:layout>
            <c:manualLayout>
              <c:x val="3.3684114982038139E-2"/>
              <c:y val="-4.91909290783915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3"/>
        <c:spPr>
          <a:solidFill>
            <a:srgbClr val="C00000"/>
          </a:solidFill>
          <a:ln w="9525">
            <a:solidFill>
              <a:schemeClr val="accent6">
                <a:lumMod val="75000"/>
              </a:schemeClr>
            </a:solidFill>
          </a:ln>
          <a:effectLst/>
        </c:spPr>
        <c:dLbl>
          <c:idx val="0"/>
          <c:layout>
            <c:manualLayout>
              <c:x val="7.877742104457254E-2"/>
              <c:y val="4.224799803964299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4"/>
        <c:spPr>
          <a:solidFill>
            <a:srgbClr val="0070C0"/>
          </a:solidFill>
          <a:ln w="9525">
            <a:solidFill>
              <a:schemeClr val="accent6">
                <a:lumMod val="75000"/>
              </a:schemeClr>
            </a:solidFill>
          </a:ln>
          <a:effectLst/>
        </c:spPr>
        <c:dLbl>
          <c:idx val="0"/>
          <c:layout>
            <c:manualLayout>
              <c:x val="4.7651182937012426E-2"/>
              <c:y val="-3.986296480949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5"/>
        <c:spPr>
          <a:solidFill>
            <a:schemeClr val="accent4">
              <a:lumMod val="50000"/>
            </a:schemeClr>
          </a:solidFill>
          <a:ln w="9525">
            <a:solidFill>
              <a:schemeClr val="accent6">
                <a:lumMod val="75000"/>
              </a:schemeClr>
            </a:solidFill>
          </a:ln>
          <a:effectLst/>
        </c:spPr>
        <c:dLbl>
          <c:idx val="0"/>
          <c:layout>
            <c:manualLayout>
              <c:x val="-0.20935671131859568"/>
              <c:y val="7.383536864981069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6"/>
        <c:spPr>
          <a:solidFill>
            <a:srgbClr val="FFC000"/>
          </a:solidFill>
          <a:ln w="9525">
            <a:solidFill>
              <a:schemeClr val="accent6">
                <a:lumMod val="75000"/>
              </a:schemeClr>
            </a:solidFill>
          </a:ln>
          <a:effectLst/>
        </c:spPr>
        <c:dLbl>
          <c:idx val="0"/>
          <c:layout>
            <c:manualLayout>
              <c:x val="-3.3981586871421401E-2"/>
              <c:y val="-6.31340699132989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7"/>
        <c:spPr>
          <a:solidFill>
            <a:srgbClr val="FFC000"/>
          </a:solidFill>
          <a:ln w="9525">
            <a:solidFill>
              <a:schemeClr val="accent6">
                <a:lumMod val="75000"/>
              </a:schemeClr>
            </a:solidFill>
          </a:ln>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8"/>
        <c:spPr>
          <a:solidFill>
            <a:srgbClr val="00B0F0"/>
          </a:solidFill>
          <a:ln w="9525">
            <a:solidFill>
              <a:schemeClr val="accent6">
                <a:lumMod val="75000"/>
              </a:schemeClr>
            </a:solidFill>
          </a:ln>
          <a:effectLst/>
        </c:spPr>
        <c:dLbl>
          <c:idx val="0"/>
          <c:layout>
            <c:manualLayout>
              <c:x val="2.1334455082030735E-2"/>
              <c:y val="-2.04474996127752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9"/>
        <c:spPr>
          <a:solidFill>
            <a:schemeClr val="accent6">
              <a:lumMod val="75000"/>
            </a:schemeClr>
          </a:solidFill>
          <a:ln w="9525">
            <a:solidFill>
              <a:schemeClr val="accent6">
                <a:lumMod val="75000"/>
              </a:schemeClr>
            </a:solidFill>
          </a:ln>
          <a:effectLst/>
        </c:spPr>
        <c:dLbl>
          <c:idx val="0"/>
          <c:layout>
            <c:manualLayout>
              <c:x val="6.5367324133988103E-2"/>
              <c:y val="-4.91910906969962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0"/>
        <c:spPr>
          <a:solidFill>
            <a:srgbClr val="C00000"/>
          </a:solidFill>
          <a:ln w="9525">
            <a:solidFill>
              <a:schemeClr val="accent6">
                <a:lumMod val="75000"/>
              </a:schemeClr>
            </a:solidFill>
          </a:ln>
          <a:effectLst/>
        </c:spPr>
        <c:dLbl>
          <c:idx val="0"/>
          <c:layout>
            <c:manualLayout>
              <c:x val="7.877742104457254E-2"/>
              <c:y val="4.224799803964299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1"/>
        <c:spPr>
          <a:solidFill>
            <a:srgbClr val="0070C0"/>
          </a:solidFill>
          <a:ln w="9525">
            <a:solidFill>
              <a:schemeClr val="accent6">
                <a:lumMod val="75000"/>
              </a:schemeClr>
            </a:solidFill>
          </a:ln>
          <a:effectLst/>
        </c:spPr>
        <c:dLbl>
          <c:idx val="0"/>
          <c:layout>
            <c:manualLayout>
              <c:x val="4.7651182937012426E-2"/>
              <c:y val="-3.986296480949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2"/>
        <c:spPr>
          <a:solidFill>
            <a:schemeClr val="accent4">
              <a:lumMod val="50000"/>
            </a:schemeClr>
          </a:solidFill>
          <a:ln w="9525">
            <a:solidFill>
              <a:schemeClr val="accent6">
                <a:lumMod val="75000"/>
              </a:schemeClr>
            </a:solidFill>
          </a:ln>
          <a:effectLst/>
        </c:spPr>
        <c:dLbl>
          <c:idx val="0"/>
          <c:layout>
            <c:manualLayout>
              <c:x val="-8.5413372833346324E-2"/>
              <c:y val="9.071704578594333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3"/>
        <c:spPr>
          <a:solidFill>
            <a:srgbClr val="FFC000"/>
          </a:solidFill>
          <a:ln w="9525">
            <a:solidFill>
              <a:schemeClr val="accent6">
                <a:lumMod val="75000"/>
              </a:schemeClr>
            </a:solidFill>
          </a:ln>
          <a:effectLst/>
        </c:spPr>
        <c:dLbl>
          <c:idx val="0"/>
          <c:layout>
            <c:manualLayout>
              <c:x val="-3.3981586871421401E-2"/>
              <c:y val="-6.31340699132989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4"/>
        <c:spPr>
          <a:solidFill>
            <a:srgbClr val="FFC000"/>
          </a:solidFill>
          <a:ln w="9525">
            <a:solidFill>
              <a:schemeClr val="accent6">
                <a:lumMod val="75000"/>
              </a:schemeClr>
            </a:solidFill>
          </a:ln>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5"/>
        <c:spPr>
          <a:solidFill>
            <a:srgbClr val="00B0F0"/>
          </a:solidFill>
          <a:ln w="9525">
            <a:solidFill>
              <a:schemeClr val="accent6">
                <a:lumMod val="75000"/>
              </a:schemeClr>
            </a:solidFill>
          </a:ln>
          <a:effectLst/>
        </c:spPr>
        <c:dLbl>
          <c:idx val="0"/>
          <c:layout>
            <c:manualLayout>
              <c:x val="2.1334455082030735E-2"/>
              <c:y val="-2.04474996127752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6"/>
        <c:spPr>
          <a:solidFill>
            <a:schemeClr val="accent6">
              <a:lumMod val="75000"/>
            </a:schemeClr>
          </a:solidFill>
          <a:ln w="9525">
            <a:solidFill>
              <a:schemeClr val="accent6">
                <a:lumMod val="75000"/>
              </a:schemeClr>
            </a:solidFill>
          </a:ln>
          <a:effectLst/>
        </c:spPr>
        <c:dLbl>
          <c:idx val="0"/>
          <c:layout>
            <c:manualLayout>
              <c:x val="6.5367324133988103E-2"/>
              <c:y val="-4.91910906969962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7"/>
        <c:spPr>
          <a:solidFill>
            <a:srgbClr val="C00000"/>
          </a:solidFill>
          <a:ln w="9525">
            <a:solidFill>
              <a:schemeClr val="accent6">
                <a:lumMod val="75000"/>
              </a:schemeClr>
            </a:solidFill>
          </a:ln>
          <a:effectLst/>
        </c:spPr>
        <c:dLbl>
          <c:idx val="0"/>
          <c:layout>
            <c:manualLayout>
              <c:x val="7.877742104457254E-2"/>
              <c:y val="4.224799803964299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8"/>
        <c:spPr>
          <a:solidFill>
            <a:srgbClr val="0070C0"/>
          </a:solidFill>
          <a:ln w="9525">
            <a:solidFill>
              <a:schemeClr val="accent6">
                <a:lumMod val="75000"/>
              </a:schemeClr>
            </a:solidFill>
          </a:ln>
          <a:effectLst/>
        </c:spPr>
        <c:dLbl>
          <c:idx val="0"/>
          <c:layout>
            <c:manualLayout>
              <c:x val="4.7651182937012426E-2"/>
              <c:y val="-3.986296480949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9"/>
        <c:spPr>
          <a:solidFill>
            <a:schemeClr val="accent4">
              <a:lumMod val="50000"/>
            </a:schemeClr>
          </a:solidFill>
          <a:ln w="9525">
            <a:solidFill>
              <a:schemeClr val="accent6">
                <a:lumMod val="75000"/>
              </a:schemeClr>
            </a:solidFill>
          </a:ln>
          <a:effectLst/>
        </c:spPr>
        <c:dLbl>
          <c:idx val="0"/>
          <c:layout>
            <c:manualLayout>
              <c:x val="-8.5413372833346324E-2"/>
              <c:y val="9.071704578594333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20"/>
        <c:spPr>
          <a:solidFill>
            <a:srgbClr val="FFC000"/>
          </a:solidFill>
          <a:ln w="9525">
            <a:solidFill>
              <a:schemeClr val="accent6">
                <a:lumMod val="75000"/>
              </a:schemeClr>
            </a:solidFill>
          </a:ln>
          <a:effectLst/>
        </c:spPr>
        <c:dLbl>
          <c:idx val="0"/>
          <c:layout>
            <c:manualLayout>
              <c:x val="-3.3981586871421401E-2"/>
              <c:y val="-6.31340699132989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21"/>
        <c:spPr>
          <a:solidFill>
            <a:srgbClr val="FFC000"/>
          </a:solidFill>
          <a:ln w="9525">
            <a:solidFill>
              <a:schemeClr val="accent6">
                <a:lumMod val="75000"/>
              </a:schemeClr>
            </a:solidFill>
          </a:ln>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22"/>
        <c:spPr>
          <a:solidFill>
            <a:srgbClr val="00B0F0"/>
          </a:solidFill>
          <a:ln w="9525">
            <a:solidFill>
              <a:schemeClr val="accent6">
                <a:lumMod val="75000"/>
              </a:schemeClr>
            </a:solidFill>
          </a:ln>
          <a:effectLst/>
        </c:spPr>
        <c:dLbl>
          <c:idx val="0"/>
          <c:layout>
            <c:manualLayout>
              <c:x val="-8.7388040535479272E-2"/>
              <c:y val="1.04939554918028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23"/>
        <c:spPr>
          <a:solidFill>
            <a:schemeClr val="accent6">
              <a:lumMod val="75000"/>
            </a:schemeClr>
          </a:solidFill>
          <a:ln w="9525">
            <a:solidFill>
              <a:schemeClr val="accent6">
                <a:lumMod val="75000"/>
              </a:schemeClr>
            </a:solidFill>
          </a:ln>
          <a:effectLst/>
        </c:spPr>
        <c:dLbl>
          <c:idx val="0"/>
          <c:layout>
            <c:manualLayout>
              <c:x val="0"/>
              <c:y val="-0.3332320112152402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24"/>
        <c:spPr>
          <a:solidFill>
            <a:srgbClr val="C00000"/>
          </a:solidFill>
          <a:ln w="9525">
            <a:solidFill>
              <a:schemeClr val="accent6">
                <a:lumMod val="75000"/>
              </a:schemeClr>
            </a:solidFill>
          </a:ln>
          <a:effectLst/>
        </c:spPr>
        <c:dLbl>
          <c:idx val="0"/>
          <c:layout>
            <c:manualLayout>
              <c:x val="-5.1350201714304058E-2"/>
              <c:y val="-2.904962733623304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25"/>
        <c:spPr>
          <a:solidFill>
            <a:srgbClr val="0070C0"/>
          </a:solidFill>
          <a:ln w="9525">
            <a:solidFill>
              <a:schemeClr val="accent6">
                <a:lumMod val="75000"/>
              </a:schemeClr>
            </a:solidFill>
          </a:ln>
          <a:effectLst/>
        </c:spPr>
        <c:dLbl>
          <c:idx val="0"/>
          <c:layout>
            <c:manualLayout>
              <c:x val="4.7651182937012426E-2"/>
              <c:y val="-3.986296480949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26"/>
        <c:spPr>
          <a:solidFill>
            <a:schemeClr val="accent4">
              <a:lumMod val="50000"/>
            </a:schemeClr>
          </a:solidFill>
          <a:ln w="9525">
            <a:solidFill>
              <a:schemeClr val="accent6">
                <a:lumMod val="75000"/>
              </a:schemeClr>
            </a:solidFill>
          </a:ln>
          <a:effectLst/>
        </c:spPr>
        <c:dLbl>
          <c:idx val="0"/>
          <c:layout>
            <c:manualLayout>
              <c:x val="3.7667604789778046E-4"/>
              <c:y val="0.2114607006576957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27"/>
        <c:spPr>
          <a:solidFill>
            <a:srgbClr val="FFC000"/>
          </a:solidFill>
          <a:ln w="9525">
            <a:solidFill>
              <a:schemeClr val="accent6">
                <a:lumMod val="75000"/>
              </a:schemeClr>
            </a:solidFill>
          </a:ln>
          <a:effectLst/>
        </c:spPr>
        <c:dLbl>
          <c:idx val="0"/>
          <c:layout>
            <c:manualLayout>
              <c:x val="-3.3981586871421401E-2"/>
              <c:y val="-6.31340699132989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'CALCULATION- DAVF'!$B$47</c:f>
              <c:strCache>
                <c:ptCount val="1"/>
                <c:pt idx="0">
                  <c:v>Total</c:v>
                </c:pt>
              </c:strCache>
            </c:strRef>
          </c:tx>
          <c:spPr>
            <a:solidFill>
              <a:srgbClr val="FFC000"/>
            </a:solidFill>
            <a:ln w="9525">
              <a:solidFill>
                <a:schemeClr val="accent6">
                  <a:lumMod val="75000"/>
                </a:schemeClr>
              </a:solidFill>
            </a:ln>
          </c:spPr>
          <c:dPt>
            <c:idx val="0"/>
            <c:bubble3D val="0"/>
            <c:explosion val="4"/>
            <c:spPr>
              <a:solidFill>
                <a:srgbClr val="00B0F0"/>
              </a:solidFill>
              <a:ln w="9525">
                <a:solidFill>
                  <a:schemeClr val="accent6">
                    <a:lumMod val="75000"/>
                  </a:schemeClr>
                </a:solidFill>
              </a:ln>
              <a:effectLst/>
            </c:spPr>
            <c:extLst>
              <c:ext xmlns:c16="http://schemas.microsoft.com/office/drawing/2014/chart" uri="{C3380CC4-5D6E-409C-BE32-E72D297353CC}">
                <c16:uniqueId val="{00000001-1EC1-4568-8411-5E6EDCBB1C86}"/>
              </c:ext>
            </c:extLst>
          </c:dPt>
          <c:dPt>
            <c:idx val="1"/>
            <c:bubble3D val="0"/>
            <c:explosion val="9"/>
            <c:spPr>
              <a:solidFill>
                <a:schemeClr val="accent6">
                  <a:lumMod val="75000"/>
                </a:schemeClr>
              </a:solidFill>
              <a:ln w="9525">
                <a:solidFill>
                  <a:schemeClr val="accent6">
                    <a:lumMod val="75000"/>
                  </a:schemeClr>
                </a:solidFill>
              </a:ln>
              <a:effectLst/>
            </c:spPr>
            <c:extLst>
              <c:ext xmlns:c16="http://schemas.microsoft.com/office/drawing/2014/chart" uri="{C3380CC4-5D6E-409C-BE32-E72D297353CC}">
                <c16:uniqueId val="{00000003-1EC1-4568-8411-5E6EDCBB1C86}"/>
              </c:ext>
            </c:extLst>
          </c:dPt>
          <c:dPt>
            <c:idx val="2"/>
            <c:bubble3D val="0"/>
            <c:explosion val="5"/>
            <c:spPr>
              <a:solidFill>
                <a:srgbClr val="C00000"/>
              </a:solidFill>
              <a:ln w="9525">
                <a:solidFill>
                  <a:schemeClr val="accent6">
                    <a:lumMod val="75000"/>
                  </a:schemeClr>
                </a:solidFill>
              </a:ln>
              <a:effectLst/>
            </c:spPr>
            <c:extLst>
              <c:ext xmlns:c16="http://schemas.microsoft.com/office/drawing/2014/chart" uri="{C3380CC4-5D6E-409C-BE32-E72D297353CC}">
                <c16:uniqueId val="{00000005-1EC1-4568-8411-5E6EDCBB1C86}"/>
              </c:ext>
            </c:extLst>
          </c:dPt>
          <c:dPt>
            <c:idx val="3"/>
            <c:bubble3D val="0"/>
            <c:explosion val="17"/>
            <c:spPr>
              <a:solidFill>
                <a:srgbClr val="0070C0"/>
              </a:solidFill>
              <a:ln w="9525">
                <a:solidFill>
                  <a:schemeClr val="accent6">
                    <a:lumMod val="75000"/>
                  </a:schemeClr>
                </a:solidFill>
              </a:ln>
              <a:effectLst/>
            </c:spPr>
            <c:extLst>
              <c:ext xmlns:c16="http://schemas.microsoft.com/office/drawing/2014/chart" uri="{C3380CC4-5D6E-409C-BE32-E72D297353CC}">
                <c16:uniqueId val="{00000007-1EC1-4568-8411-5E6EDCBB1C86}"/>
              </c:ext>
            </c:extLst>
          </c:dPt>
          <c:dPt>
            <c:idx val="4"/>
            <c:bubble3D val="0"/>
            <c:spPr>
              <a:solidFill>
                <a:schemeClr val="accent4">
                  <a:lumMod val="50000"/>
                </a:schemeClr>
              </a:solidFill>
              <a:ln w="9525">
                <a:solidFill>
                  <a:schemeClr val="accent6">
                    <a:lumMod val="75000"/>
                  </a:schemeClr>
                </a:solidFill>
              </a:ln>
              <a:effectLst/>
            </c:spPr>
            <c:extLst>
              <c:ext xmlns:c16="http://schemas.microsoft.com/office/drawing/2014/chart" uri="{C3380CC4-5D6E-409C-BE32-E72D297353CC}">
                <c16:uniqueId val="{00000009-1EC1-4568-8411-5E6EDCBB1C86}"/>
              </c:ext>
            </c:extLst>
          </c:dPt>
          <c:dPt>
            <c:idx val="5"/>
            <c:bubble3D val="0"/>
            <c:explosion val="10"/>
            <c:spPr>
              <a:solidFill>
                <a:srgbClr val="FFC000"/>
              </a:solidFill>
              <a:ln w="9525">
                <a:solidFill>
                  <a:schemeClr val="accent6">
                    <a:lumMod val="75000"/>
                  </a:schemeClr>
                </a:solidFill>
              </a:ln>
              <a:effectLst/>
            </c:spPr>
            <c:extLst>
              <c:ext xmlns:c16="http://schemas.microsoft.com/office/drawing/2014/chart" uri="{C3380CC4-5D6E-409C-BE32-E72D297353CC}">
                <c16:uniqueId val="{0000000B-1EC1-4568-8411-5E6EDCBB1C86}"/>
              </c:ext>
            </c:extLst>
          </c:dPt>
          <c:dLbls>
            <c:dLbl>
              <c:idx val="0"/>
              <c:layout>
                <c:manualLayout>
                  <c:x val="-8.7388040535479272E-2"/>
                  <c:y val="1.049395549180282E-3"/>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1EC1-4568-8411-5E6EDCBB1C86}"/>
                </c:ext>
              </c:extLst>
            </c:dLbl>
            <c:dLbl>
              <c:idx val="1"/>
              <c:layout>
                <c:manualLayout>
                  <c:x val="0"/>
                  <c:y val="-0.33323201121524021"/>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1EC1-4568-8411-5E6EDCBB1C86}"/>
                </c:ext>
              </c:extLst>
            </c:dLbl>
            <c:dLbl>
              <c:idx val="2"/>
              <c:layout>
                <c:manualLayout>
                  <c:x val="-5.1350201714304058E-2"/>
                  <c:y val="-2.9049627336233043E-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1EC1-4568-8411-5E6EDCBB1C86}"/>
                </c:ext>
              </c:extLst>
            </c:dLbl>
            <c:dLbl>
              <c:idx val="3"/>
              <c:layout>
                <c:manualLayout>
                  <c:x val="4.7651182937012426E-2"/>
                  <c:y val="-3.986296480949067E-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1EC1-4568-8411-5E6EDCBB1C86}"/>
                </c:ext>
              </c:extLst>
            </c:dLbl>
            <c:dLbl>
              <c:idx val="4"/>
              <c:layout>
                <c:manualLayout>
                  <c:x val="3.7667604789778046E-4"/>
                  <c:y val="0.21146070065769576"/>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1EC1-4568-8411-5E6EDCBB1C86}"/>
                </c:ext>
              </c:extLst>
            </c:dLbl>
            <c:dLbl>
              <c:idx val="5"/>
              <c:layout>
                <c:manualLayout>
                  <c:x val="-3.3981586871421401E-2"/>
                  <c:y val="-6.3134069913298937E-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1EC1-4568-8411-5E6EDCBB1C8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 DAVF'!$A$48:$A$54</c:f>
              <c:strCache>
                <c:ptCount val="6"/>
                <c:pt idx="0">
                  <c:v>BUU CHINH</c:v>
                </c:pt>
                <c:pt idx="1">
                  <c:v>DRAGON</c:v>
                </c:pt>
                <c:pt idx="2">
                  <c:v>HAI AN</c:v>
                </c:pt>
                <c:pt idx="3">
                  <c:v>HP điều xe</c:v>
                </c:pt>
                <c:pt idx="4">
                  <c:v>SENKO</c:v>
                </c:pt>
                <c:pt idx="5">
                  <c:v>TASETCO</c:v>
                </c:pt>
              </c:strCache>
            </c:strRef>
          </c:cat>
          <c:val>
            <c:numRef>
              <c:f>'CALCULATION- DAVF'!$B$48:$B$54</c:f>
              <c:numCache>
                <c:formatCode>_(* #,##0_);_(* \(#,##0\);_(* "-"??_);_(@_)</c:formatCode>
                <c:ptCount val="6"/>
                <c:pt idx="0">
                  <c:v>1721.25</c:v>
                </c:pt>
                <c:pt idx="1">
                  <c:v>5790.3806000000004</c:v>
                </c:pt>
                <c:pt idx="2">
                  <c:v>2479.1999999999998</c:v>
                </c:pt>
                <c:pt idx="3">
                  <c:v>0</c:v>
                </c:pt>
                <c:pt idx="4">
                  <c:v>5</c:v>
                </c:pt>
                <c:pt idx="5">
                  <c:v>146.98294000000001</c:v>
                </c:pt>
              </c:numCache>
            </c:numRef>
          </c:val>
          <c:extLst>
            <c:ext xmlns:c16="http://schemas.microsoft.com/office/drawing/2014/chart" uri="{C3380CC4-5D6E-409C-BE32-E72D297353CC}">
              <c16:uniqueId val="{0000000C-1EC1-4568-8411-5E6EDCBB1C86}"/>
            </c:ext>
          </c:extLst>
        </c:ser>
        <c:dLbls>
          <c:showLegendKey val="0"/>
          <c:showVal val="0"/>
          <c:showCatName val="0"/>
          <c:showSerName val="0"/>
          <c:showPercent val="0"/>
          <c:showBubbleSize val="0"/>
          <c:showLeaderLines val="1"/>
        </c:dLbls>
        <c:firstSliceAng val="270"/>
      </c:pieChart>
    </c:plotArea>
    <c:plotVisOnly val="1"/>
    <c:dispBlanksAs val="gap"/>
    <c:showDLblsOverMax val="0"/>
    <c:extLst/>
  </c:chart>
  <c:spPr>
    <a:solidFill>
      <a:schemeClr val="accent4">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[Dashboard - DAV Transportation Cost.xlsm]CALCULATION- DAVF!DAVF - SỐ TIỀN SỬ DỤNG CỦA VENDOR THEO THÁNG </c:name>
    <c:fmtId val="11"/>
  </c:pivotSource>
  <c:chart>
    <c:title>
      <c:tx>
        <c:rich>
          <a:bodyPr rot="0" spcFirstLastPara="1" vertOverflow="ellipsis" vert="horz" wrap="square" anchor="ctr" anchorCtr="1"/>
          <a:lstStyle/>
          <a:p>
            <a:pPr algn="ctr" rtl="0">
              <a:defRPr lang="en-US" sz="1800" b="0" i="0" u="none" strike="noStrike" kern="1200" spc="0" baseline="0">
                <a:solidFill>
                  <a:schemeClr val="accent1">
                    <a:lumMod val="75000"/>
                  </a:schemeClr>
                </a:solidFill>
                <a:latin typeface="UTM Bebas" panose="02040603050506020204" pitchFamily="18" charset="0"/>
                <a:ea typeface="+mn-ea"/>
                <a:cs typeface="+mn-cs"/>
              </a:defRPr>
            </a:pPr>
            <a:r>
              <a:rPr lang="en-US" sz="1800" b="0" i="0" u="none" strike="noStrike" kern="1200" spc="0" baseline="0">
                <a:solidFill>
                  <a:schemeClr val="accent1">
                    <a:lumMod val="75000"/>
                  </a:schemeClr>
                </a:solidFill>
                <a:latin typeface="UTM Bebas" panose="02040603050506020204" pitchFamily="18" charset="0"/>
                <a:ea typeface="+mn-ea"/>
                <a:cs typeface="+mn-cs"/>
              </a:rPr>
              <a:t>COST USING BY VENDOR</a:t>
            </a:r>
          </a:p>
        </c:rich>
      </c:tx>
      <c:overlay val="0"/>
      <c:spPr>
        <a:noFill/>
        <a:ln>
          <a:noFill/>
        </a:ln>
        <a:effectLst/>
      </c:spPr>
      <c:txPr>
        <a:bodyPr rot="0" spcFirstLastPara="1" vertOverflow="ellipsis" vert="horz" wrap="square" anchor="ctr" anchorCtr="1"/>
        <a:lstStyle/>
        <a:p>
          <a:pPr algn="ctr" rtl="0">
            <a:defRPr lang="en-US" sz="1800" b="0" i="0" u="none" strike="noStrike" kern="1200" spc="0" baseline="0">
              <a:solidFill>
                <a:schemeClr val="accent1">
                  <a:lumMod val="75000"/>
                </a:schemeClr>
              </a:solidFill>
              <a:latin typeface="UTM Bebas" panose="02040603050506020204" pitchFamily="18" charset="0"/>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4">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 DAVF'!$B$59:$B$60</c:f>
              <c:strCache>
                <c:ptCount val="1"/>
                <c:pt idx="0">
                  <c:v>4</c:v>
                </c:pt>
              </c:strCache>
            </c:strRef>
          </c:tx>
          <c:spPr>
            <a:solidFill>
              <a:schemeClr val="accent1">
                <a:tint val="54000"/>
              </a:schemeClr>
            </a:solidFill>
            <a:ln>
              <a:noFill/>
            </a:ln>
            <a:effectLst/>
          </c:spPr>
          <c:invertIfNegative val="0"/>
          <c:cat>
            <c:strRef>
              <c:f>'CALCULATION- DAVF'!$A$61:$A$67</c:f>
              <c:strCache>
                <c:ptCount val="6"/>
                <c:pt idx="0">
                  <c:v>BUU CHINH</c:v>
                </c:pt>
                <c:pt idx="1">
                  <c:v>DRAGON</c:v>
                </c:pt>
                <c:pt idx="2">
                  <c:v>HAI AN</c:v>
                </c:pt>
                <c:pt idx="3">
                  <c:v>HP điều xe</c:v>
                </c:pt>
                <c:pt idx="4">
                  <c:v>SENKO</c:v>
                </c:pt>
                <c:pt idx="5">
                  <c:v>TASETCO</c:v>
                </c:pt>
              </c:strCache>
            </c:strRef>
          </c:cat>
          <c:val>
            <c:numRef>
              <c:f>'CALCULATION- DAVF'!$B$61:$B$67</c:f>
              <c:numCache>
                <c:formatCode>_(* #,##0_);_(* \(#,##0\);_(* "-"??_);_(@_)</c:formatCode>
                <c:ptCount val="6"/>
                <c:pt idx="0">
                  <c:v>117750000</c:v>
                </c:pt>
                <c:pt idx="1">
                  <c:v>2884210800</c:v>
                </c:pt>
                <c:pt idx="2">
                  <c:v>527900000</c:v>
                </c:pt>
                <c:pt idx="3">
                  <c:v>0</c:v>
                </c:pt>
                <c:pt idx="4">
                  <c:v>5000000</c:v>
                </c:pt>
                <c:pt idx="5">
                  <c:v>20423294</c:v>
                </c:pt>
              </c:numCache>
            </c:numRef>
          </c:val>
          <c:extLst>
            <c:ext xmlns:c16="http://schemas.microsoft.com/office/drawing/2014/chart" uri="{C3380CC4-5D6E-409C-BE32-E72D297353CC}">
              <c16:uniqueId val="{00000000-8D7D-460C-89AA-BCC4E0DE4431}"/>
            </c:ext>
          </c:extLst>
        </c:ser>
        <c:ser>
          <c:idx val="1"/>
          <c:order val="1"/>
          <c:tx>
            <c:strRef>
              <c:f>'CALCULATION- DAVF'!$C$59:$C$60</c:f>
              <c:strCache>
                <c:ptCount val="1"/>
                <c:pt idx="0">
                  <c:v>5</c:v>
                </c:pt>
              </c:strCache>
            </c:strRef>
          </c:tx>
          <c:spPr>
            <a:solidFill>
              <a:schemeClr val="accent1">
                <a:tint val="77000"/>
              </a:schemeClr>
            </a:solidFill>
            <a:ln>
              <a:noFill/>
            </a:ln>
            <a:effectLst/>
          </c:spPr>
          <c:invertIfNegative val="0"/>
          <c:cat>
            <c:strRef>
              <c:f>'CALCULATION- DAVF'!$A$61:$A$67</c:f>
              <c:strCache>
                <c:ptCount val="6"/>
                <c:pt idx="0">
                  <c:v>BUU CHINH</c:v>
                </c:pt>
                <c:pt idx="1">
                  <c:v>DRAGON</c:v>
                </c:pt>
                <c:pt idx="2">
                  <c:v>HAI AN</c:v>
                </c:pt>
                <c:pt idx="3">
                  <c:v>HP điều xe</c:v>
                </c:pt>
                <c:pt idx="4">
                  <c:v>SENKO</c:v>
                </c:pt>
                <c:pt idx="5">
                  <c:v>TASETCO</c:v>
                </c:pt>
              </c:strCache>
            </c:strRef>
          </c:cat>
          <c:val>
            <c:numRef>
              <c:f>'CALCULATION- DAVF'!$C$61:$C$67</c:f>
              <c:numCache>
                <c:formatCode>_(* #,##0_);_(* \(#,##0\);_(* "-"??_);_(@_)</c:formatCode>
                <c:ptCount val="6"/>
                <c:pt idx="0">
                  <c:v>404750000</c:v>
                </c:pt>
                <c:pt idx="1">
                  <c:v>1390010800</c:v>
                </c:pt>
                <c:pt idx="2">
                  <c:v>727200000</c:v>
                </c:pt>
                <c:pt idx="3">
                  <c:v>0</c:v>
                </c:pt>
                <c:pt idx="4">
                  <c:v>0</c:v>
                </c:pt>
                <c:pt idx="5">
                  <c:v>57625755</c:v>
                </c:pt>
              </c:numCache>
            </c:numRef>
          </c:val>
          <c:extLst>
            <c:ext xmlns:c16="http://schemas.microsoft.com/office/drawing/2014/chart" uri="{C3380CC4-5D6E-409C-BE32-E72D297353CC}">
              <c16:uniqueId val="{0000000B-68B3-42CB-B704-79B85A020A65}"/>
            </c:ext>
          </c:extLst>
        </c:ser>
        <c:ser>
          <c:idx val="2"/>
          <c:order val="2"/>
          <c:tx>
            <c:strRef>
              <c:f>'CALCULATION- DAVF'!$D$59:$D$60</c:f>
              <c:strCache>
                <c:ptCount val="1"/>
                <c:pt idx="0">
                  <c:v>6</c:v>
                </c:pt>
              </c:strCache>
            </c:strRef>
          </c:tx>
          <c:spPr>
            <a:solidFill>
              <a:schemeClr val="accent1"/>
            </a:solidFill>
            <a:ln>
              <a:noFill/>
            </a:ln>
            <a:effectLst/>
          </c:spPr>
          <c:invertIfNegative val="0"/>
          <c:cat>
            <c:strRef>
              <c:f>'CALCULATION- DAVF'!$A$61:$A$67</c:f>
              <c:strCache>
                <c:ptCount val="6"/>
                <c:pt idx="0">
                  <c:v>BUU CHINH</c:v>
                </c:pt>
                <c:pt idx="1">
                  <c:v>DRAGON</c:v>
                </c:pt>
                <c:pt idx="2">
                  <c:v>HAI AN</c:v>
                </c:pt>
                <c:pt idx="3">
                  <c:v>HP điều xe</c:v>
                </c:pt>
                <c:pt idx="4">
                  <c:v>SENKO</c:v>
                </c:pt>
                <c:pt idx="5">
                  <c:v>TASETCO</c:v>
                </c:pt>
              </c:strCache>
            </c:strRef>
          </c:cat>
          <c:val>
            <c:numRef>
              <c:f>'CALCULATION- DAVF'!$D$61:$D$67</c:f>
              <c:numCache>
                <c:formatCode>_(* #,##0_);_(* \(#,##0\);_(* "-"??_);_(@_)</c:formatCode>
                <c:ptCount val="6"/>
                <c:pt idx="0">
                  <c:v>767500000</c:v>
                </c:pt>
                <c:pt idx="1">
                  <c:v>858155400</c:v>
                </c:pt>
                <c:pt idx="2">
                  <c:v>633200000</c:v>
                </c:pt>
                <c:pt idx="3">
                  <c:v>0</c:v>
                </c:pt>
                <c:pt idx="4">
                  <c:v>0</c:v>
                </c:pt>
                <c:pt idx="5">
                  <c:v>20619916</c:v>
                </c:pt>
              </c:numCache>
            </c:numRef>
          </c:val>
          <c:extLst>
            <c:ext xmlns:c16="http://schemas.microsoft.com/office/drawing/2014/chart" uri="{C3380CC4-5D6E-409C-BE32-E72D297353CC}">
              <c16:uniqueId val="{0000000C-68B3-42CB-B704-79B85A020A65}"/>
            </c:ext>
          </c:extLst>
        </c:ser>
        <c:ser>
          <c:idx val="3"/>
          <c:order val="3"/>
          <c:tx>
            <c:strRef>
              <c:f>'CALCULATION- DAVF'!$E$59:$E$60</c:f>
              <c:strCache>
                <c:ptCount val="1"/>
                <c:pt idx="0">
                  <c:v>7</c:v>
                </c:pt>
              </c:strCache>
            </c:strRef>
          </c:tx>
          <c:spPr>
            <a:solidFill>
              <a:schemeClr val="accent1">
                <a:shade val="76000"/>
              </a:schemeClr>
            </a:solidFill>
            <a:ln>
              <a:noFill/>
            </a:ln>
            <a:effectLst/>
          </c:spPr>
          <c:invertIfNegative val="0"/>
          <c:cat>
            <c:strRef>
              <c:f>'CALCULATION- DAVF'!$A$61:$A$67</c:f>
              <c:strCache>
                <c:ptCount val="6"/>
                <c:pt idx="0">
                  <c:v>BUU CHINH</c:v>
                </c:pt>
                <c:pt idx="1">
                  <c:v>DRAGON</c:v>
                </c:pt>
                <c:pt idx="2">
                  <c:v>HAI AN</c:v>
                </c:pt>
                <c:pt idx="3">
                  <c:v>HP điều xe</c:v>
                </c:pt>
                <c:pt idx="4">
                  <c:v>SENKO</c:v>
                </c:pt>
                <c:pt idx="5">
                  <c:v>TASETCO</c:v>
                </c:pt>
              </c:strCache>
            </c:strRef>
          </c:cat>
          <c:val>
            <c:numRef>
              <c:f>'CALCULATION- DAVF'!$E$61:$E$67</c:f>
              <c:numCache>
                <c:formatCode>_(* #,##0_);_(* \(#,##0\);_(* "-"??_);_(@_)</c:formatCode>
                <c:ptCount val="6"/>
                <c:pt idx="0">
                  <c:v>252500000</c:v>
                </c:pt>
                <c:pt idx="1">
                  <c:v>325051800</c:v>
                </c:pt>
                <c:pt idx="2">
                  <c:v>270900000</c:v>
                </c:pt>
                <c:pt idx="3">
                  <c:v>0</c:v>
                </c:pt>
                <c:pt idx="4">
                  <c:v>0</c:v>
                </c:pt>
                <c:pt idx="5">
                  <c:v>19210688</c:v>
                </c:pt>
              </c:numCache>
            </c:numRef>
          </c:val>
          <c:extLst>
            <c:ext xmlns:c16="http://schemas.microsoft.com/office/drawing/2014/chart" uri="{C3380CC4-5D6E-409C-BE32-E72D297353CC}">
              <c16:uniqueId val="{0000000D-68B3-42CB-B704-79B85A020A65}"/>
            </c:ext>
          </c:extLst>
        </c:ser>
        <c:ser>
          <c:idx val="4"/>
          <c:order val="4"/>
          <c:tx>
            <c:strRef>
              <c:f>'CALCULATION- DAVF'!$F$59:$F$60</c:f>
              <c:strCache>
                <c:ptCount val="1"/>
                <c:pt idx="0">
                  <c:v>8</c:v>
                </c:pt>
              </c:strCache>
            </c:strRef>
          </c:tx>
          <c:spPr>
            <a:solidFill>
              <a:schemeClr val="accent1">
                <a:shade val="53000"/>
              </a:schemeClr>
            </a:solidFill>
            <a:ln>
              <a:noFill/>
            </a:ln>
            <a:effectLst/>
          </c:spPr>
          <c:invertIfNegative val="0"/>
          <c:cat>
            <c:strRef>
              <c:f>'CALCULATION- DAVF'!$A$61:$A$67</c:f>
              <c:strCache>
                <c:ptCount val="6"/>
                <c:pt idx="0">
                  <c:v>BUU CHINH</c:v>
                </c:pt>
                <c:pt idx="1">
                  <c:v>DRAGON</c:v>
                </c:pt>
                <c:pt idx="2">
                  <c:v>HAI AN</c:v>
                </c:pt>
                <c:pt idx="3">
                  <c:v>HP điều xe</c:v>
                </c:pt>
                <c:pt idx="4">
                  <c:v>SENKO</c:v>
                </c:pt>
                <c:pt idx="5">
                  <c:v>TASETCO</c:v>
                </c:pt>
              </c:strCache>
            </c:strRef>
          </c:cat>
          <c:val>
            <c:numRef>
              <c:f>'CALCULATION- DAVF'!$F$61:$F$67</c:f>
              <c:numCache>
                <c:formatCode>_(* #,##0_);_(* \(#,##0\);_(* "-"??_);_(@_)</c:formatCode>
                <c:ptCount val="6"/>
                <c:pt idx="0">
                  <c:v>178750000</c:v>
                </c:pt>
                <c:pt idx="1">
                  <c:v>332951800</c:v>
                </c:pt>
                <c:pt idx="2">
                  <c:v>320000000</c:v>
                </c:pt>
                <c:pt idx="3">
                  <c:v>0</c:v>
                </c:pt>
                <c:pt idx="4">
                  <c:v>0</c:v>
                </c:pt>
                <c:pt idx="5">
                  <c:v>29103287</c:v>
                </c:pt>
              </c:numCache>
            </c:numRef>
          </c:val>
          <c:extLst>
            <c:ext xmlns:c16="http://schemas.microsoft.com/office/drawing/2014/chart" uri="{C3380CC4-5D6E-409C-BE32-E72D297353CC}">
              <c16:uniqueId val="{0000000E-68B3-42CB-B704-79B85A020A65}"/>
            </c:ext>
          </c:extLst>
        </c:ser>
        <c:dLbls>
          <c:showLegendKey val="0"/>
          <c:showVal val="0"/>
          <c:showCatName val="0"/>
          <c:showSerName val="0"/>
          <c:showPercent val="0"/>
          <c:showBubbleSize val="0"/>
        </c:dLbls>
        <c:gapWidth val="150"/>
        <c:axId val="2113620511"/>
        <c:axId val="489130207"/>
      </c:barChart>
      <c:catAx>
        <c:axId val="2113620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30207"/>
        <c:crosses val="autoZero"/>
        <c:auto val="1"/>
        <c:lblAlgn val="ctr"/>
        <c:lblOffset val="100"/>
        <c:noMultiLvlLbl val="0"/>
      </c:catAx>
      <c:valAx>
        <c:axId val="489130207"/>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620511"/>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25400" cap="flat" cmpd="sng" algn="ctr">
      <a:solidFill>
        <a:schemeClr val="accent6">
          <a:lumMod val="75000"/>
        </a:schemeClr>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withinLinearReversed" id="25">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1">
  <a:schemeClr val="accent1"/>
</cs:colorStyle>
</file>

<file path=xl/charts/colors7.xml><?xml version="1.0" encoding="utf-8"?>
<cs:colorStyle xmlns:cs="http://schemas.microsoft.com/office/drawing/2012/chartStyle" xmlns:a="http://schemas.openxmlformats.org/drawingml/2006/main" meth="withinLinearReversed" id="25">
  <a:schemeClr val="accent5"/>
</cs:colorStyle>
</file>

<file path=xl/charts/colors8.xml><?xml version="1.0" encoding="utf-8"?>
<cs:colorStyle xmlns:cs="http://schemas.microsoft.com/office/drawing/2012/chartStyle" xmlns:a="http://schemas.openxmlformats.org/drawingml/2006/main" meth="withinLinearReversed" id="25">
  <a:schemeClr val="accent5"/>
</cs:colorStyle>
</file>

<file path=xl/charts/colors9.xml><?xml version="1.0" encoding="utf-8"?>
<cs:colorStyle xmlns:cs="http://schemas.microsoft.com/office/drawing/2012/chartStyle" xmlns:a="http://schemas.openxmlformats.org/drawingml/2006/main" meth="withinLinearReversed" id="25">
  <a:schemeClr val="accent5"/>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5</xdr:col>
      <xdr:colOff>1409700</xdr:colOff>
      <xdr:row>0</xdr:row>
      <xdr:rowOff>0</xdr:rowOff>
    </xdr:from>
    <xdr:to>
      <xdr:col>6</xdr:col>
      <xdr:colOff>0</xdr:colOff>
      <xdr:row>2</xdr:row>
      <xdr:rowOff>123825</xdr:rowOff>
    </xdr:to>
    <xdr:sp macro="[0]!Refresh" textlink="">
      <xdr:nvSpPr>
        <xdr:cNvPr id="2" name="Rectangle 1">
          <a:extLst>
            <a:ext uri="{FF2B5EF4-FFF2-40B4-BE49-F238E27FC236}">
              <a16:creationId xmlns:a16="http://schemas.microsoft.com/office/drawing/2014/main" id="{FE7B2AE5-9843-964D-1B26-DDB4FE301441}"/>
            </a:ext>
          </a:extLst>
        </xdr:cNvPr>
        <xdr:cNvSpPr/>
      </xdr:nvSpPr>
      <xdr:spPr>
        <a:xfrm>
          <a:off x="5391150" y="0"/>
          <a:ext cx="1514475" cy="5048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Refresh All</a:t>
          </a:r>
        </a:p>
        <a:p>
          <a:pPr algn="l"/>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95249</xdr:colOff>
      <xdr:row>0</xdr:row>
      <xdr:rowOff>9525</xdr:rowOff>
    </xdr:from>
    <xdr:to>
      <xdr:col>19</xdr:col>
      <xdr:colOff>85724</xdr:colOff>
      <xdr:row>3</xdr:row>
      <xdr:rowOff>95250</xdr:rowOff>
    </xdr:to>
    <xdr:sp macro="" textlink="">
      <xdr:nvSpPr>
        <xdr:cNvPr id="3" name="Rectangle 2">
          <a:extLst>
            <a:ext uri="{FF2B5EF4-FFF2-40B4-BE49-F238E27FC236}">
              <a16:creationId xmlns:a16="http://schemas.microsoft.com/office/drawing/2014/main" id="{D71ECDED-6B53-3709-A306-94617B251AA6}"/>
            </a:ext>
          </a:extLst>
        </xdr:cNvPr>
        <xdr:cNvSpPr/>
      </xdr:nvSpPr>
      <xdr:spPr>
        <a:xfrm>
          <a:off x="95249" y="9525"/>
          <a:ext cx="12206288" cy="633413"/>
        </a:xfrm>
        <a:prstGeom prst="rect">
          <a:avLst/>
        </a:prstGeom>
        <a:solidFill>
          <a:schemeClr val="accent4">
            <a:lumMod val="40000"/>
            <a:lumOff val="6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aseline="0">
              <a:solidFill>
                <a:schemeClr val="accent1">
                  <a:lumMod val="75000"/>
                </a:schemeClr>
              </a:solidFill>
              <a:latin typeface="UTM HelvetIns" panose="02040603050506020204" pitchFamily="18" charset="0"/>
              <a:ea typeface="+mn-ea"/>
              <a:cs typeface="+mn-cs"/>
            </a:rPr>
            <a:t>TRANSPORATION COST MONITORING </a:t>
          </a:r>
          <a:r>
            <a:rPr lang="en-US" sz="2800" baseline="0">
              <a:solidFill>
                <a:schemeClr val="accent1">
                  <a:lumMod val="75000"/>
                </a:schemeClr>
              </a:solidFill>
              <a:latin typeface="UTM HelvetIns" panose="02040603050506020204" pitchFamily="18" charset="0"/>
            </a:rPr>
            <a:t>- SHORT ROUTE</a:t>
          </a:r>
          <a:endParaRPr lang="en-US" sz="2800">
            <a:solidFill>
              <a:schemeClr val="accent1">
                <a:lumMod val="75000"/>
              </a:schemeClr>
            </a:solidFill>
            <a:latin typeface="UTM HelvetIns" panose="02040603050506020204" pitchFamily="18" charset="0"/>
          </a:endParaRPr>
        </a:p>
      </xdr:txBody>
    </xdr:sp>
    <xdr:clientData/>
  </xdr:twoCellAnchor>
  <xdr:twoCellAnchor>
    <xdr:from>
      <xdr:col>0</xdr:col>
      <xdr:colOff>66675</xdr:colOff>
      <xdr:row>16</xdr:row>
      <xdr:rowOff>152400</xdr:rowOff>
    </xdr:from>
    <xdr:to>
      <xdr:col>7</xdr:col>
      <xdr:colOff>480786</xdr:colOff>
      <xdr:row>36</xdr:row>
      <xdr:rowOff>76200</xdr:rowOff>
    </xdr:to>
    <xdr:graphicFrame macro="">
      <xdr:nvGraphicFramePr>
        <xdr:cNvPr id="25" name="Chart 24">
          <a:extLst>
            <a:ext uri="{FF2B5EF4-FFF2-40B4-BE49-F238E27FC236}">
              <a16:creationId xmlns:a16="http://schemas.microsoft.com/office/drawing/2014/main" id="{7AFF79C6-C624-4F77-B3A9-EC2B774EB4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95251</xdr:colOff>
      <xdr:row>3</xdr:row>
      <xdr:rowOff>104775</xdr:rowOff>
    </xdr:from>
    <xdr:to>
      <xdr:col>4</xdr:col>
      <xdr:colOff>19050</xdr:colOff>
      <xdr:row>10</xdr:row>
      <xdr:rowOff>0</xdr:rowOff>
    </xdr:to>
    <mc:AlternateContent xmlns:mc="http://schemas.openxmlformats.org/markup-compatibility/2006" xmlns:a14="http://schemas.microsoft.com/office/drawing/2010/main">
      <mc:Choice Requires="a14">
        <xdr:graphicFrame macro="">
          <xdr:nvGraphicFramePr>
            <xdr:cNvPr id="26" name="Chi nhánh">
              <a:extLst>
                <a:ext uri="{FF2B5EF4-FFF2-40B4-BE49-F238E27FC236}">
                  <a16:creationId xmlns:a16="http://schemas.microsoft.com/office/drawing/2014/main" id="{387C9A1D-7030-B7D4-D1A9-6E4FAB490D26}"/>
                </a:ext>
              </a:extLst>
            </xdr:cNvPr>
            <xdr:cNvGraphicFramePr/>
          </xdr:nvGraphicFramePr>
          <xdr:xfrm>
            <a:off x="0" y="0"/>
            <a:ext cx="0" cy="0"/>
          </xdr:xfrm>
          <a:graphic>
            <a:graphicData uri="http://schemas.microsoft.com/office/drawing/2010/slicer">
              <sle:slicer xmlns:sle="http://schemas.microsoft.com/office/drawing/2010/slicer" name="Chi nhánh"/>
            </a:graphicData>
          </a:graphic>
        </xdr:graphicFrame>
      </mc:Choice>
      <mc:Fallback xmlns="">
        <xdr:sp macro="" textlink="">
          <xdr:nvSpPr>
            <xdr:cNvPr id="0" name=""/>
            <xdr:cNvSpPr>
              <a:spLocks noTextEdit="1"/>
            </xdr:cNvSpPr>
          </xdr:nvSpPr>
          <xdr:spPr>
            <a:xfrm>
              <a:off x="95251" y="676275"/>
              <a:ext cx="2362199" cy="1228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542924</xdr:colOff>
      <xdr:row>4</xdr:row>
      <xdr:rowOff>133350</xdr:rowOff>
    </xdr:from>
    <xdr:to>
      <xdr:col>19</xdr:col>
      <xdr:colOff>66673</xdr:colOff>
      <xdr:row>19</xdr:row>
      <xdr:rowOff>152400</xdr:rowOff>
    </xdr:to>
    <xdr:graphicFrame macro="">
      <xdr:nvGraphicFramePr>
        <xdr:cNvPr id="37" name="Chart 36">
          <a:extLst>
            <a:ext uri="{FF2B5EF4-FFF2-40B4-BE49-F238E27FC236}">
              <a16:creationId xmlns:a16="http://schemas.microsoft.com/office/drawing/2014/main" id="{89865B5E-BAF2-4485-B3DA-429A0A4F5D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552450</xdr:colOff>
      <xdr:row>20</xdr:row>
      <xdr:rowOff>142875</xdr:rowOff>
    </xdr:from>
    <xdr:to>
      <xdr:col>19</xdr:col>
      <xdr:colOff>57149</xdr:colOff>
      <xdr:row>36</xdr:row>
      <xdr:rowOff>85725</xdr:rowOff>
    </xdr:to>
    <xdr:graphicFrame macro="">
      <xdr:nvGraphicFramePr>
        <xdr:cNvPr id="38" name="Chart 37">
          <a:extLst>
            <a:ext uri="{FF2B5EF4-FFF2-40B4-BE49-F238E27FC236}">
              <a16:creationId xmlns:a16="http://schemas.microsoft.com/office/drawing/2014/main" id="{E86E6CB6-D621-4702-8A72-72BC045046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219075</xdr:colOff>
      <xdr:row>12</xdr:row>
      <xdr:rowOff>152401</xdr:rowOff>
    </xdr:from>
    <xdr:to>
      <xdr:col>10</xdr:col>
      <xdr:colOff>473982</xdr:colOff>
      <xdr:row>22</xdr:row>
      <xdr:rowOff>161925</xdr:rowOff>
    </xdr:to>
    <mc:AlternateContent xmlns:mc="http://schemas.openxmlformats.org/markup-compatibility/2006" xmlns:a14="http://schemas.microsoft.com/office/drawing/2010/main">
      <mc:Choice Requires="a14">
        <xdr:graphicFrame macro="">
          <xdr:nvGraphicFramePr>
            <xdr:cNvPr id="39" name="Chi nhánh 2">
              <a:extLst>
                <a:ext uri="{FF2B5EF4-FFF2-40B4-BE49-F238E27FC236}">
                  <a16:creationId xmlns:a16="http://schemas.microsoft.com/office/drawing/2014/main" id="{764FB236-B096-4904-B768-2AD4267F307C}"/>
                </a:ext>
              </a:extLst>
            </xdr:cNvPr>
            <xdr:cNvGraphicFramePr/>
          </xdr:nvGraphicFramePr>
          <xdr:xfrm>
            <a:off x="0" y="0"/>
            <a:ext cx="0" cy="0"/>
          </xdr:xfrm>
          <a:graphic>
            <a:graphicData uri="http://schemas.microsoft.com/office/drawing/2010/slicer">
              <sle:slicer xmlns:sle="http://schemas.microsoft.com/office/drawing/2010/slicer" name="Chi nhánh 2"/>
            </a:graphicData>
          </a:graphic>
        </xdr:graphicFrame>
      </mc:Choice>
      <mc:Fallback xmlns="">
        <xdr:sp macro="" textlink="">
          <xdr:nvSpPr>
            <xdr:cNvPr id="0" name=""/>
            <xdr:cNvSpPr>
              <a:spLocks noTextEdit="1"/>
            </xdr:cNvSpPr>
          </xdr:nvSpPr>
          <xdr:spPr>
            <a:xfrm>
              <a:off x="5095875" y="2438401"/>
              <a:ext cx="1428750" cy="1914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228600</xdr:colOff>
      <xdr:row>3</xdr:row>
      <xdr:rowOff>114300</xdr:rowOff>
    </xdr:from>
    <xdr:to>
      <xdr:col>10</xdr:col>
      <xdr:colOff>483507</xdr:colOff>
      <xdr:row>12</xdr:row>
      <xdr:rowOff>66675</xdr:rowOff>
    </xdr:to>
    <mc:AlternateContent xmlns:mc="http://schemas.openxmlformats.org/markup-compatibility/2006" xmlns:a14="http://schemas.microsoft.com/office/drawing/2010/main">
      <mc:Choice Requires="a14">
        <xdr:graphicFrame macro="">
          <xdr:nvGraphicFramePr>
            <xdr:cNvPr id="40" name="Tháng 1">
              <a:extLst>
                <a:ext uri="{FF2B5EF4-FFF2-40B4-BE49-F238E27FC236}">
                  <a16:creationId xmlns:a16="http://schemas.microsoft.com/office/drawing/2014/main" id="{A4497C13-5F29-47A1-A8A7-88010EA579EE}"/>
                </a:ext>
              </a:extLst>
            </xdr:cNvPr>
            <xdr:cNvGraphicFramePr/>
          </xdr:nvGraphicFramePr>
          <xdr:xfrm>
            <a:off x="0" y="0"/>
            <a:ext cx="0" cy="0"/>
          </xdr:xfrm>
          <a:graphic>
            <a:graphicData uri="http://schemas.microsoft.com/office/drawing/2010/slicer">
              <sle:slicer xmlns:sle="http://schemas.microsoft.com/office/drawing/2010/slicer" name="Tháng 1"/>
            </a:graphicData>
          </a:graphic>
        </xdr:graphicFrame>
      </mc:Choice>
      <mc:Fallback xmlns="">
        <xdr:sp macro="" textlink="">
          <xdr:nvSpPr>
            <xdr:cNvPr id="0" name=""/>
            <xdr:cNvSpPr>
              <a:spLocks noTextEdit="1"/>
            </xdr:cNvSpPr>
          </xdr:nvSpPr>
          <xdr:spPr>
            <a:xfrm>
              <a:off x="5105400" y="685800"/>
              <a:ext cx="1428750" cy="1666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xdr:row>
      <xdr:rowOff>114301</xdr:rowOff>
    </xdr:from>
    <xdr:to>
      <xdr:col>7</xdr:col>
      <xdr:colOff>489858</xdr:colOff>
      <xdr:row>10</xdr:row>
      <xdr:rowOff>1</xdr:rowOff>
    </xdr:to>
    <mc:AlternateContent xmlns:mc="http://schemas.openxmlformats.org/markup-compatibility/2006" xmlns:a14="http://schemas.microsoft.com/office/drawing/2010/main">
      <mc:Choice Requires="a14">
        <xdr:graphicFrame macro="">
          <xdr:nvGraphicFramePr>
            <xdr:cNvPr id="47" name="Tháng">
              <a:extLst>
                <a:ext uri="{FF2B5EF4-FFF2-40B4-BE49-F238E27FC236}">
                  <a16:creationId xmlns:a16="http://schemas.microsoft.com/office/drawing/2014/main" id="{BAEE9479-C950-4A6A-8789-340FBB042C86}"/>
                </a:ext>
              </a:extLst>
            </xdr:cNvPr>
            <xdr:cNvGraphicFramePr/>
          </xdr:nvGraphicFramePr>
          <xdr:xfrm>
            <a:off x="0" y="0"/>
            <a:ext cx="0" cy="0"/>
          </xdr:xfrm>
          <a:graphic>
            <a:graphicData uri="http://schemas.microsoft.com/office/drawing/2010/slicer">
              <sle:slicer xmlns:sle="http://schemas.microsoft.com/office/drawing/2010/slicer" name="Tháng"/>
            </a:graphicData>
          </a:graphic>
        </xdr:graphicFrame>
      </mc:Choice>
      <mc:Fallback xmlns="">
        <xdr:sp macro="" textlink="">
          <xdr:nvSpPr>
            <xdr:cNvPr id="0" name=""/>
            <xdr:cNvSpPr>
              <a:spLocks noTextEdit="1"/>
            </xdr:cNvSpPr>
          </xdr:nvSpPr>
          <xdr:spPr>
            <a:xfrm>
              <a:off x="2614386" y="667658"/>
              <a:ext cx="2383972" cy="1155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200025</xdr:colOff>
      <xdr:row>23</xdr:row>
      <xdr:rowOff>76195</xdr:rowOff>
    </xdr:from>
    <xdr:to>
      <xdr:col>10</xdr:col>
      <xdr:colOff>390526</xdr:colOff>
      <xdr:row>30</xdr:row>
      <xdr:rowOff>28567</xdr:rowOff>
    </xdr:to>
    <xdr:grpSp>
      <xdr:nvGrpSpPr>
        <xdr:cNvPr id="50" name="Group 49">
          <a:extLst>
            <a:ext uri="{FF2B5EF4-FFF2-40B4-BE49-F238E27FC236}">
              <a16:creationId xmlns:a16="http://schemas.microsoft.com/office/drawing/2014/main" id="{C5A48DC2-1545-46D8-2FDE-E69897ECF2C5}"/>
            </a:ext>
          </a:extLst>
        </xdr:cNvPr>
        <xdr:cNvGrpSpPr/>
      </xdr:nvGrpSpPr>
      <xdr:grpSpPr>
        <a:xfrm>
          <a:off x="5098596" y="4471302"/>
          <a:ext cx="1374323" cy="1285872"/>
          <a:chOff x="5086350" y="4676776"/>
          <a:chExt cx="1409701" cy="1085848"/>
        </a:xfrm>
      </xdr:grpSpPr>
      <xdr:sp macro="" textlink="">
        <xdr:nvSpPr>
          <xdr:cNvPr id="48" name="Rectangle 47">
            <a:extLst>
              <a:ext uri="{FF2B5EF4-FFF2-40B4-BE49-F238E27FC236}">
                <a16:creationId xmlns:a16="http://schemas.microsoft.com/office/drawing/2014/main" id="{9FC5FDDD-FFA6-4EE7-9E3E-BC9AF6A423F8}"/>
              </a:ext>
            </a:extLst>
          </xdr:cNvPr>
          <xdr:cNvSpPr/>
        </xdr:nvSpPr>
        <xdr:spPr>
          <a:xfrm>
            <a:off x="5086350" y="4676776"/>
            <a:ext cx="1409700" cy="828675"/>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800" b="0" i="0" u="none" strike="noStrike">
                <a:solidFill>
                  <a:schemeClr val="accent1">
                    <a:lumMod val="75000"/>
                  </a:schemeClr>
                </a:solidFill>
                <a:latin typeface="UTM Bebas" panose="02040603050506020204" pitchFamily="18" charset="0"/>
                <a:ea typeface="+mn-ea"/>
                <a:cs typeface="Calibri"/>
              </a:rPr>
              <a:t>VENDORS</a:t>
            </a:r>
          </a:p>
          <a:p>
            <a:pPr marL="0" indent="0" algn="ctr"/>
            <a:endParaRPr lang="en-US" sz="1800" b="0" i="0" u="none" strike="noStrike">
              <a:solidFill>
                <a:schemeClr val="accent1">
                  <a:lumMod val="75000"/>
                </a:schemeClr>
              </a:solidFill>
              <a:latin typeface="UTM Bebas" panose="02040603050506020204" pitchFamily="18" charset="0"/>
              <a:ea typeface="+mn-ea"/>
              <a:cs typeface="Calibri"/>
            </a:endParaRPr>
          </a:p>
        </xdr:txBody>
      </xdr:sp>
      <xdr:sp macro="" textlink="'CALCULATION-NGẮN'!O3">
        <xdr:nvSpPr>
          <xdr:cNvPr id="44" name="Rectangle 43">
            <a:extLst>
              <a:ext uri="{FF2B5EF4-FFF2-40B4-BE49-F238E27FC236}">
                <a16:creationId xmlns:a16="http://schemas.microsoft.com/office/drawing/2014/main" id="{D097068F-0806-4D77-9D8C-DDC183C666DF}"/>
              </a:ext>
            </a:extLst>
          </xdr:cNvPr>
          <xdr:cNvSpPr/>
        </xdr:nvSpPr>
        <xdr:spPr>
          <a:xfrm>
            <a:off x="5086351" y="5143500"/>
            <a:ext cx="1409700" cy="6191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E4B6A6C1-DDBE-43DF-9178-66F2636370C4}" type="TxLink">
              <a:rPr lang="en-US" sz="2400" b="1" i="0" u="none" strike="noStrike">
                <a:solidFill>
                  <a:schemeClr val="accent1">
                    <a:lumMod val="75000"/>
                  </a:schemeClr>
                </a:solidFill>
                <a:latin typeface="UTM Bebas" panose="02040603050506020204" pitchFamily="18" charset="0"/>
                <a:ea typeface="+mn-ea"/>
                <a:cs typeface="Calibri"/>
              </a:rPr>
              <a:pPr marL="0" indent="0" algn="ctr"/>
              <a:t>16</a:t>
            </a:fld>
            <a:endParaRPr lang="en-US" sz="2400" b="1" i="0" u="none" strike="noStrike">
              <a:solidFill>
                <a:schemeClr val="accent1">
                  <a:lumMod val="75000"/>
                </a:schemeClr>
              </a:solidFill>
              <a:latin typeface="UTM Bebas" panose="02040603050506020204" pitchFamily="18" charset="0"/>
              <a:ea typeface="+mn-ea"/>
              <a:cs typeface="Calibri"/>
            </a:endParaRPr>
          </a:p>
        </xdr:txBody>
      </xdr:sp>
    </xdr:grpSp>
    <xdr:clientData/>
  </xdr:twoCellAnchor>
  <xdr:twoCellAnchor>
    <xdr:from>
      <xdr:col>8</xdr:col>
      <xdr:colOff>180975</xdr:colOff>
      <xdr:row>29</xdr:row>
      <xdr:rowOff>28575</xdr:rowOff>
    </xdr:from>
    <xdr:to>
      <xdr:col>10</xdr:col>
      <xdr:colOff>428626</xdr:colOff>
      <xdr:row>34</xdr:row>
      <xdr:rowOff>180975</xdr:rowOff>
    </xdr:to>
    <xdr:grpSp>
      <xdr:nvGrpSpPr>
        <xdr:cNvPr id="51" name="Group 50">
          <a:extLst>
            <a:ext uri="{FF2B5EF4-FFF2-40B4-BE49-F238E27FC236}">
              <a16:creationId xmlns:a16="http://schemas.microsoft.com/office/drawing/2014/main" id="{F8F45F06-FE9B-05D7-29E3-2E1DFAB5D2C3}"/>
            </a:ext>
          </a:extLst>
        </xdr:cNvPr>
        <xdr:cNvGrpSpPr/>
      </xdr:nvGrpSpPr>
      <xdr:grpSpPr>
        <a:xfrm>
          <a:off x="5079546" y="5566682"/>
          <a:ext cx="1431473" cy="1104900"/>
          <a:chOff x="5057775" y="5553075"/>
          <a:chExt cx="1466851" cy="1104900"/>
        </a:xfrm>
      </xdr:grpSpPr>
      <xdr:sp macro="" textlink="">
        <xdr:nvSpPr>
          <xdr:cNvPr id="49" name="Rectangle 48">
            <a:extLst>
              <a:ext uri="{FF2B5EF4-FFF2-40B4-BE49-F238E27FC236}">
                <a16:creationId xmlns:a16="http://schemas.microsoft.com/office/drawing/2014/main" id="{0EBE1EE4-D4D2-4648-8C6B-6FA14CD27A8D}"/>
              </a:ext>
            </a:extLst>
          </xdr:cNvPr>
          <xdr:cNvSpPr/>
        </xdr:nvSpPr>
        <xdr:spPr>
          <a:xfrm>
            <a:off x="5057775" y="5553075"/>
            <a:ext cx="1428750" cy="990599"/>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800" b="0" i="0" u="none" strike="noStrike">
                <a:solidFill>
                  <a:schemeClr val="accent1">
                    <a:lumMod val="75000"/>
                  </a:schemeClr>
                </a:solidFill>
                <a:latin typeface="UTM Bebas" panose="02040603050506020204" pitchFamily="18" charset="0"/>
                <a:ea typeface="+mn-ea"/>
                <a:cs typeface="Calibri"/>
              </a:rPr>
              <a:t>AVG</a:t>
            </a:r>
            <a:r>
              <a:rPr lang="en-US" sz="1800" b="0" i="0" u="none" strike="noStrike" baseline="0">
                <a:solidFill>
                  <a:schemeClr val="accent1">
                    <a:lumMod val="75000"/>
                  </a:schemeClr>
                </a:solidFill>
                <a:latin typeface="UTM Bebas" panose="02040603050506020204" pitchFamily="18" charset="0"/>
                <a:ea typeface="+mn-ea"/>
                <a:cs typeface="Calibri"/>
              </a:rPr>
              <a:t> KPI</a:t>
            </a:r>
          </a:p>
          <a:p>
            <a:pPr marL="0" indent="0" algn="ctr"/>
            <a:endParaRPr lang="en-US" sz="1800" b="0" i="0" u="none" strike="noStrike">
              <a:solidFill>
                <a:schemeClr val="accent1">
                  <a:lumMod val="75000"/>
                </a:schemeClr>
              </a:solidFill>
              <a:latin typeface="UTM Bebas" panose="02040603050506020204" pitchFamily="18" charset="0"/>
              <a:ea typeface="+mn-ea"/>
              <a:cs typeface="Calibri"/>
            </a:endParaRPr>
          </a:p>
        </xdr:txBody>
      </xdr:sp>
      <xdr:sp macro="" textlink="'CALCULATION-NGẮN'!Q3">
        <xdr:nvSpPr>
          <xdr:cNvPr id="45" name="Rectangle 44">
            <a:extLst>
              <a:ext uri="{FF2B5EF4-FFF2-40B4-BE49-F238E27FC236}">
                <a16:creationId xmlns:a16="http://schemas.microsoft.com/office/drawing/2014/main" id="{0DFCEC9C-4BB3-44ED-8738-2EF7EE886134}"/>
              </a:ext>
            </a:extLst>
          </xdr:cNvPr>
          <xdr:cNvSpPr/>
        </xdr:nvSpPr>
        <xdr:spPr>
          <a:xfrm>
            <a:off x="5086350" y="6010275"/>
            <a:ext cx="1438276" cy="647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BDBCDC3-DF9A-4701-BC71-1EE7999E55F7}" type="TxLink">
              <a:rPr lang="en-US" sz="2000" b="0" i="0" u="none" strike="noStrike">
                <a:solidFill>
                  <a:schemeClr val="accent1">
                    <a:lumMod val="75000"/>
                  </a:schemeClr>
                </a:solidFill>
                <a:latin typeface="UTM Bebas" panose="02040603050506020204" pitchFamily="18" charset="0"/>
                <a:ea typeface="+mn-ea"/>
                <a:cs typeface="Calibri"/>
              </a:rPr>
              <a:pPr marL="0" indent="0" algn="ctr"/>
              <a:t>95.43%</a:t>
            </a:fld>
            <a:endParaRPr lang="en-US" sz="2000" b="0" i="0" u="none" strike="noStrike">
              <a:solidFill>
                <a:schemeClr val="accent1">
                  <a:lumMod val="75000"/>
                </a:schemeClr>
              </a:solidFill>
              <a:latin typeface="UTM Bebas" panose="02040603050506020204" pitchFamily="18" charset="0"/>
              <a:ea typeface="+mn-ea"/>
              <a:cs typeface="Calibri"/>
            </a:endParaRPr>
          </a:p>
        </xdr:txBody>
      </xdr:sp>
    </xdr:grpSp>
    <xdr:clientData/>
  </xdr:twoCellAnchor>
  <xdr:twoCellAnchor>
    <xdr:from>
      <xdr:col>0</xdr:col>
      <xdr:colOff>58510</xdr:colOff>
      <xdr:row>10</xdr:row>
      <xdr:rowOff>38099</xdr:rowOff>
    </xdr:from>
    <xdr:to>
      <xdr:col>4</xdr:col>
      <xdr:colOff>19051</xdr:colOff>
      <xdr:row>16</xdr:row>
      <xdr:rowOff>6826</xdr:rowOff>
    </xdr:to>
    <xdr:grpSp>
      <xdr:nvGrpSpPr>
        <xdr:cNvPr id="54" name="Group 53">
          <a:extLst>
            <a:ext uri="{FF2B5EF4-FFF2-40B4-BE49-F238E27FC236}">
              <a16:creationId xmlns:a16="http://schemas.microsoft.com/office/drawing/2014/main" id="{8740E842-6D53-90D5-DAC0-E853990BD88F}"/>
            </a:ext>
          </a:extLst>
        </xdr:cNvPr>
        <xdr:cNvGrpSpPr/>
      </xdr:nvGrpSpPr>
      <xdr:grpSpPr>
        <a:xfrm>
          <a:off x="58510" y="1956706"/>
          <a:ext cx="2409827" cy="1111727"/>
          <a:chOff x="60005" y="1943100"/>
          <a:chExt cx="2397446" cy="1103388"/>
        </a:xfrm>
      </xdr:grpSpPr>
      <xdr:sp macro="" textlink="">
        <xdr:nvSpPr>
          <xdr:cNvPr id="52" name="Rectangle 51">
            <a:extLst>
              <a:ext uri="{FF2B5EF4-FFF2-40B4-BE49-F238E27FC236}">
                <a16:creationId xmlns:a16="http://schemas.microsoft.com/office/drawing/2014/main" id="{28029FDD-971F-4160-97A7-5F708C699469}"/>
              </a:ext>
            </a:extLst>
          </xdr:cNvPr>
          <xdr:cNvSpPr/>
        </xdr:nvSpPr>
        <xdr:spPr>
          <a:xfrm>
            <a:off x="85725" y="1943100"/>
            <a:ext cx="2371726" cy="1085850"/>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u="none" strike="noStrike">
                <a:solidFill>
                  <a:schemeClr val="accent1">
                    <a:lumMod val="75000"/>
                  </a:schemeClr>
                </a:solidFill>
                <a:latin typeface="UTM Bebas" panose="02040603050506020204" pitchFamily="18" charset="0"/>
                <a:cs typeface="Calibri"/>
              </a:rPr>
              <a:t>TOTAL</a:t>
            </a:r>
            <a:r>
              <a:rPr lang="en-US" sz="2000" b="1" i="0" u="none" strike="noStrike" baseline="0">
                <a:solidFill>
                  <a:schemeClr val="accent1">
                    <a:lumMod val="75000"/>
                  </a:schemeClr>
                </a:solidFill>
                <a:latin typeface="UTM Bebas" panose="02040603050506020204" pitchFamily="18" charset="0"/>
                <a:cs typeface="Calibri"/>
              </a:rPr>
              <a:t> COST</a:t>
            </a:r>
            <a:endParaRPr lang="en-US" sz="2000" b="1" i="0" u="none" strike="noStrike">
              <a:solidFill>
                <a:schemeClr val="accent1">
                  <a:lumMod val="75000"/>
                </a:schemeClr>
              </a:solidFill>
              <a:latin typeface="UTM Bebas" panose="02040603050506020204" pitchFamily="18" charset="0"/>
              <a:cs typeface="Calibri"/>
            </a:endParaRPr>
          </a:p>
        </xdr:txBody>
      </xdr:sp>
      <xdr:sp macro="" textlink="'CALCULATION-NGẮN'!N3">
        <xdr:nvSpPr>
          <xdr:cNvPr id="46" name="Rectangle 45">
            <a:extLst>
              <a:ext uri="{FF2B5EF4-FFF2-40B4-BE49-F238E27FC236}">
                <a16:creationId xmlns:a16="http://schemas.microsoft.com/office/drawing/2014/main" id="{710F317F-A42A-4DF5-BFA4-E4119E375CD6}"/>
              </a:ext>
            </a:extLst>
          </xdr:cNvPr>
          <xdr:cNvSpPr/>
        </xdr:nvSpPr>
        <xdr:spPr>
          <a:xfrm>
            <a:off x="60005" y="2417838"/>
            <a:ext cx="2371726" cy="628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D51B636-6FE7-4B79-B6C1-D069C531BCE4}" type="TxLink">
              <a:rPr lang="en-US" sz="2000" b="1" i="0" u="none" strike="noStrike">
                <a:solidFill>
                  <a:schemeClr val="accent1">
                    <a:lumMod val="75000"/>
                  </a:schemeClr>
                </a:solidFill>
                <a:latin typeface="Arial Narrow" panose="020B0606020202030204" pitchFamily="34" charset="0"/>
                <a:cs typeface="Calibri"/>
              </a:rPr>
              <a:pPr algn="ctr"/>
              <a:t> 19,424,622,634 </a:t>
            </a:fld>
            <a:endParaRPr lang="en-US" sz="2000" b="1">
              <a:solidFill>
                <a:schemeClr val="accent1">
                  <a:lumMod val="75000"/>
                </a:schemeClr>
              </a:solidFill>
              <a:latin typeface="Arial Narrow" panose="020B0606020202030204" pitchFamily="34" charset="0"/>
            </a:endParaRPr>
          </a:p>
        </xdr:txBody>
      </xdr:sp>
    </xdr:grpSp>
    <xdr:clientData/>
  </xdr:twoCellAnchor>
  <xdr:twoCellAnchor>
    <xdr:from>
      <xdr:col>4</xdr:col>
      <xdr:colOff>48077</xdr:colOff>
      <xdr:row>10</xdr:row>
      <xdr:rowOff>38101</xdr:rowOff>
    </xdr:from>
    <xdr:to>
      <xdr:col>7</xdr:col>
      <xdr:colOff>508000</xdr:colOff>
      <xdr:row>15</xdr:row>
      <xdr:rowOff>180975</xdr:rowOff>
    </xdr:to>
    <xdr:grpSp>
      <xdr:nvGrpSpPr>
        <xdr:cNvPr id="55" name="Group 54">
          <a:extLst>
            <a:ext uri="{FF2B5EF4-FFF2-40B4-BE49-F238E27FC236}">
              <a16:creationId xmlns:a16="http://schemas.microsoft.com/office/drawing/2014/main" id="{706DAF7F-3735-A794-1DDD-0EFE8A23A931}"/>
            </a:ext>
          </a:extLst>
        </xdr:cNvPr>
        <xdr:cNvGrpSpPr/>
      </xdr:nvGrpSpPr>
      <xdr:grpSpPr>
        <a:xfrm>
          <a:off x="2497363" y="1956708"/>
          <a:ext cx="2296887" cy="1095374"/>
          <a:chOff x="2486856" y="1943101"/>
          <a:chExt cx="2371726" cy="1095374"/>
        </a:xfrm>
      </xdr:grpSpPr>
      <xdr:sp macro="" textlink="">
        <xdr:nvSpPr>
          <xdr:cNvPr id="53" name="Rectangle 52">
            <a:extLst>
              <a:ext uri="{FF2B5EF4-FFF2-40B4-BE49-F238E27FC236}">
                <a16:creationId xmlns:a16="http://schemas.microsoft.com/office/drawing/2014/main" id="{A3E61585-0BCE-47C7-BC35-84ECFB5389B8}"/>
              </a:ext>
            </a:extLst>
          </xdr:cNvPr>
          <xdr:cNvSpPr/>
        </xdr:nvSpPr>
        <xdr:spPr>
          <a:xfrm>
            <a:off x="2495549" y="1943101"/>
            <a:ext cx="2343151" cy="1095374"/>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i="0" u="none" strike="noStrike">
                <a:solidFill>
                  <a:schemeClr val="accent1">
                    <a:lumMod val="75000"/>
                  </a:schemeClr>
                </a:solidFill>
                <a:latin typeface="UTM Bebas" panose="02040603050506020204" pitchFamily="18" charset="0"/>
                <a:ea typeface="+mn-ea"/>
                <a:cs typeface="Calibri"/>
              </a:rPr>
              <a:t>COST RATIO</a:t>
            </a:r>
          </a:p>
        </xdr:txBody>
      </xdr:sp>
      <xdr:sp macro="" textlink="'CALCULATION-NGẮN'!P3">
        <xdr:nvSpPr>
          <xdr:cNvPr id="43" name="Rectangle 42">
            <a:extLst>
              <a:ext uri="{FF2B5EF4-FFF2-40B4-BE49-F238E27FC236}">
                <a16:creationId xmlns:a16="http://schemas.microsoft.com/office/drawing/2014/main" id="{89ECEAA7-4DD5-4394-B893-D5D3698592C9}"/>
              </a:ext>
            </a:extLst>
          </xdr:cNvPr>
          <xdr:cNvSpPr/>
        </xdr:nvSpPr>
        <xdr:spPr>
          <a:xfrm>
            <a:off x="2486856" y="2398880"/>
            <a:ext cx="2371726" cy="6381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40F0F2E3-4426-4E14-A1DF-D7C5C6C171D1}" type="TxLink">
              <a:rPr lang="en-US" sz="2000" b="1" i="0" u="none" strike="noStrike">
                <a:solidFill>
                  <a:schemeClr val="accent1">
                    <a:lumMod val="75000"/>
                  </a:schemeClr>
                </a:solidFill>
                <a:latin typeface="Arial Narrow" panose="020B0606020202030204" pitchFamily="34" charset="0"/>
                <a:ea typeface="+mn-ea"/>
                <a:cs typeface="Calibri"/>
              </a:rPr>
              <a:pPr marL="0" indent="0" algn="ctr"/>
              <a:t>100%</a:t>
            </a:fld>
            <a:endParaRPr lang="en-US" sz="2000" b="1" i="0" u="none" strike="noStrike">
              <a:solidFill>
                <a:schemeClr val="accent1">
                  <a:lumMod val="75000"/>
                </a:schemeClr>
              </a:solidFill>
              <a:latin typeface="Arial Narrow" panose="020B0606020202030204" pitchFamily="34" charset="0"/>
              <a:ea typeface="+mn-ea"/>
              <a:cs typeface="Calibri"/>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0</xdr:rowOff>
    </xdr:from>
    <xdr:to>
      <xdr:col>20</xdr:col>
      <xdr:colOff>95250</xdr:colOff>
      <xdr:row>3</xdr:row>
      <xdr:rowOff>85725</xdr:rowOff>
    </xdr:to>
    <xdr:sp macro="" textlink="">
      <xdr:nvSpPr>
        <xdr:cNvPr id="2" name="Rectangle 1">
          <a:extLst>
            <a:ext uri="{FF2B5EF4-FFF2-40B4-BE49-F238E27FC236}">
              <a16:creationId xmlns:a16="http://schemas.microsoft.com/office/drawing/2014/main" id="{FB2C5968-96A6-4F12-A42F-8BD2B7EAF442}"/>
            </a:ext>
          </a:extLst>
        </xdr:cNvPr>
        <xdr:cNvSpPr/>
      </xdr:nvSpPr>
      <xdr:spPr>
        <a:xfrm>
          <a:off x="104775" y="0"/>
          <a:ext cx="12274839" cy="639907"/>
        </a:xfrm>
        <a:prstGeom prst="rect">
          <a:avLst/>
        </a:prstGeom>
        <a:solidFill>
          <a:schemeClr val="accent4">
            <a:lumMod val="40000"/>
            <a:lumOff val="6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solidFill>
                <a:schemeClr val="accent1">
                  <a:lumMod val="75000"/>
                </a:schemeClr>
              </a:solidFill>
              <a:latin typeface="UTM HelvetIns" panose="02040603050506020204" pitchFamily="18" charset="0"/>
            </a:rPr>
            <a:t>TRANSPORATION</a:t>
          </a:r>
          <a:r>
            <a:rPr lang="en-US" sz="3600" baseline="0">
              <a:solidFill>
                <a:schemeClr val="accent1">
                  <a:lumMod val="75000"/>
                </a:schemeClr>
              </a:solidFill>
              <a:latin typeface="UTM HelvetIns" panose="02040603050506020204" pitchFamily="18" charset="0"/>
            </a:rPr>
            <a:t> </a:t>
          </a:r>
          <a:r>
            <a:rPr lang="en-US" sz="3600">
              <a:solidFill>
                <a:schemeClr val="accent1">
                  <a:lumMod val="75000"/>
                </a:schemeClr>
              </a:solidFill>
              <a:latin typeface="UTM HelvetIns" panose="02040603050506020204" pitchFamily="18" charset="0"/>
            </a:rPr>
            <a:t>COST</a:t>
          </a:r>
          <a:r>
            <a:rPr lang="en-US" sz="3600" baseline="0">
              <a:solidFill>
                <a:schemeClr val="accent1">
                  <a:lumMod val="75000"/>
                </a:schemeClr>
              </a:solidFill>
              <a:latin typeface="UTM HelvetIns" panose="02040603050506020204" pitchFamily="18" charset="0"/>
            </a:rPr>
            <a:t> MONITORING - LONG ROUTE</a:t>
          </a:r>
          <a:endParaRPr lang="en-US" sz="3600">
            <a:solidFill>
              <a:schemeClr val="accent1">
                <a:lumMod val="75000"/>
              </a:schemeClr>
            </a:solidFill>
            <a:latin typeface="UTM HelvetIns" panose="02040603050506020204" pitchFamily="18" charset="0"/>
          </a:endParaRPr>
        </a:p>
      </xdr:txBody>
    </xdr:sp>
    <xdr:clientData/>
  </xdr:twoCellAnchor>
  <xdr:twoCellAnchor>
    <xdr:from>
      <xdr:col>0</xdr:col>
      <xdr:colOff>114300</xdr:colOff>
      <xdr:row>16</xdr:row>
      <xdr:rowOff>114299</xdr:rowOff>
    </xdr:from>
    <xdr:to>
      <xdr:col>7</xdr:col>
      <xdr:colOff>635000</xdr:colOff>
      <xdr:row>36</xdr:row>
      <xdr:rowOff>123824</xdr:rowOff>
    </xdr:to>
    <xdr:graphicFrame macro="">
      <xdr:nvGraphicFramePr>
        <xdr:cNvPr id="3" name="Chart 2">
          <a:extLst>
            <a:ext uri="{FF2B5EF4-FFF2-40B4-BE49-F238E27FC236}">
              <a16:creationId xmlns:a16="http://schemas.microsoft.com/office/drawing/2014/main" id="{FC13AC19-D99C-4B9E-8912-67F628D3BF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114299</xdr:colOff>
      <xdr:row>10</xdr:row>
      <xdr:rowOff>19050</xdr:rowOff>
    </xdr:from>
    <xdr:to>
      <xdr:col>4</xdr:col>
      <xdr:colOff>47625</xdr:colOff>
      <xdr:row>15</xdr:row>
      <xdr:rowOff>160129</xdr:rowOff>
    </xdr:to>
    <xdr:grpSp>
      <xdr:nvGrpSpPr>
        <xdr:cNvPr id="10" name="Group 9">
          <a:extLst>
            <a:ext uri="{FF2B5EF4-FFF2-40B4-BE49-F238E27FC236}">
              <a16:creationId xmlns:a16="http://schemas.microsoft.com/office/drawing/2014/main" id="{99AA5682-DA76-3AB0-B9A7-C731C413363B}"/>
            </a:ext>
          </a:extLst>
        </xdr:cNvPr>
        <xdr:cNvGrpSpPr/>
      </xdr:nvGrpSpPr>
      <xdr:grpSpPr>
        <a:xfrm>
          <a:off x="114299" y="1937657"/>
          <a:ext cx="2382612" cy="1093579"/>
          <a:chOff x="38099" y="1924050"/>
          <a:chExt cx="2371727" cy="1093916"/>
        </a:xfrm>
      </xdr:grpSpPr>
      <xdr:sp macro="" textlink="">
        <xdr:nvSpPr>
          <xdr:cNvPr id="5" name="Rectangle 4">
            <a:extLst>
              <a:ext uri="{FF2B5EF4-FFF2-40B4-BE49-F238E27FC236}">
                <a16:creationId xmlns:a16="http://schemas.microsoft.com/office/drawing/2014/main" id="{DAE16BAD-3D4B-FE01-0B7D-817ED505F44A}"/>
              </a:ext>
            </a:extLst>
          </xdr:cNvPr>
          <xdr:cNvSpPr/>
        </xdr:nvSpPr>
        <xdr:spPr>
          <a:xfrm>
            <a:off x="38100" y="1924050"/>
            <a:ext cx="2371726" cy="1085850"/>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u="none" strike="noStrike">
                <a:solidFill>
                  <a:schemeClr val="accent5">
                    <a:lumMod val="50000"/>
                  </a:schemeClr>
                </a:solidFill>
                <a:latin typeface="UTM Bebas" panose="02040603050506020204" pitchFamily="18" charset="0"/>
                <a:cs typeface="Calibri"/>
              </a:rPr>
              <a:t>TOTAL</a:t>
            </a:r>
            <a:r>
              <a:rPr lang="en-US" sz="2000" b="1" i="0" u="none" strike="noStrike" baseline="0">
                <a:solidFill>
                  <a:schemeClr val="accent5">
                    <a:lumMod val="50000"/>
                  </a:schemeClr>
                </a:solidFill>
                <a:latin typeface="UTM Bebas" panose="02040603050506020204" pitchFamily="18" charset="0"/>
                <a:cs typeface="Calibri"/>
              </a:rPr>
              <a:t> COST</a:t>
            </a:r>
            <a:endParaRPr lang="en-US" sz="2000" b="1" i="0" u="none" strike="noStrike">
              <a:solidFill>
                <a:schemeClr val="accent5">
                  <a:lumMod val="50000"/>
                </a:schemeClr>
              </a:solidFill>
              <a:latin typeface="UTM Bebas" panose="02040603050506020204" pitchFamily="18" charset="0"/>
              <a:cs typeface="Calibri"/>
            </a:endParaRPr>
          </a:p>
        </xdr:txBody>
      </xdr:sp>
      <xdr:sp macro="" textlink="'CALCULATION- DÀI'!$J$3">
        <xdr:nvSpPr>
          <xdr:cNvPr id="6" name="Rectangle 5">
            <a:extLst>
              <a:ext uri="{FF2B5EF4-FFF2-40B4-BE49-F238E27FC236}">
                <a16:creationId xmlns:a16="http://schemas.microsoft.com/office/drawing/2014/main" id="{06AA2EF5-8B36-C55C-E27D-5BD3BCBC0DD9}"/>
              </a:ext>
            </a:extLst>
          </xdr:cNvPr>
          <xdr:cNvSpPr/>
        </xdr:nvSpPr>
        <xdr:spPr>
          <a:xfrm>
            <a:off x="38099" y="2389316"/>
            <a:ext cx="1880919" cy="628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8EF1FC20-6132-4110-B5E9-DD04459D8F04}" type="TxLink">
              <a:rPr lang="en-US" sz="2000" b="1" i="0" u="none" strike="noStrike">
                <a:solidFill>
                  <a:schemeClr val="accent5">
                    <a:lumMod val="50000"/>
                  </a:schemeClr>
                </a:solidFill>
                <a:latin typeface="Arial Narrow" panose="020B0606020202030204" pitchFamily="34" charset="0"/>
                <a:ea typeface="+mn-ea"/>
                <a:cs typeface="Calibri"/>
              </a:rPr>
              <a:pPr marL="0" indent="0" algn="ctr"/>
              <a:t> 4,171,696,970 </a:t>
            </a:fld>
            <a:endParaRPr lang="en-US" sz="2000" b="1" i="0" u="none" strike="noStrike">
              <a:solidFill>
                <a:schemeClr val="accent5">
                  <a:lumMod val="50000"/>
                </a:schemeClr>
              </a:solidFill>
              <a:latin typeface="Arial Narrow" panose="020B0606020202030204" pitchFamily="34" charset="0"/>
              <a:ea typeface="+mn-ea"/>
              <a:cs typeface="Calibri"/>
            </a:endParaRPr>
          </a:p>
        </xdr:txBody>
      </xdr:sp>
    </xdr:grpSp>
    <xdr:clientData/>
  </xdr:twoCellAnchor>
  <xdr:twoCellAnchor>
    <xdr:from>
      <xdr:col>4</xdr:col>
      <xdr:colOff>94795</xdr:colOff>
      <xdr:row>10</xdr:row>
      <xdr:rowOff>46266</xdr:rowOff>
    </xdr:from>
    <xdr:to>
      <xdr:col>8</xdr:col>
      <xdr:colOff>18143</xdr:colOff>
      <xdr:row>16</xdr:row>
      <xdr:rowOff>24493</xdr:rowOff>
    </xdr:to>
    <xdr:grpSp>
      <xdr:nvGrpSpPr>
        <xdr:cNvPr id="11" name="Group 10">
          <a:extLst>
            <a:ext uri="{FF2B5EF4-FFF2-40B4-BE49-F238E27FC236}">
              <a16:creationId xmlns:a16="http://schemas.microsoft.com/office/drawing/2014/main" id="{5111086C-C0D5-4FDB-C762-FCBFA8B7EBE3}"/>
            </a:ext>
          </a:extLst>
        </xdr:cNvPr>
        <xdr:cNvGrpSpPr/>
      </xdr:nvGrpSpPr>
      <xdr:grpSpPr>
        <a:xfrm>
          <a:off x="2544081" y="1964873"/>
          <a:ext cx="2372633" cy="1121227"/>
          <a:chOff x="2447924" y="1924051"/>
          <a:chExt cx="2380299" cy="1112880"/>
        </a:xfrm>
      </xdr:grpSpPr>
      <xdr:sp macro="" textlink="">
        <xdr:nvSpPr>
          <xdr:cNvPr id="8" name="Rectangle 7">
            <a:extLst>
              <a:ext uri="{FF2B5EF4-FFF2-40B4-BE49-F238E27FC236}">
                <a16:creationId xmlns:a16="http://schemas.microsoft.com/office/drawing/2014/main" id="{66E56CC0-EA87-833B-A431-9FCE2F62FDF9}"/>
              </a:ext>
            </a:extLst>
          </xdr:cNvPr>
          <xdr:cNvSpPr/>
        </xdr:nvSpPr>
        <xdr:spPr>
          <a:xfrm>
            <a:off x="2447924" y="1924051"/>
            <a:ext cx="2343151" cy="1095374"/>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0" i="0" u="none" strike="noStrike">
                <a:solidFill>
                  <a:schemeClr val="accent5">
                    <a:lumMod val="50000"/>
                  </a:schemeClr>
                </a:solidFill>
                <a:latin typeface="UTM Bebas" panose="02040603050506020204" pitchFamily="18" charset="0"/>
                <a:ea typeface="+mn-ea"/>
                <a:cs typeface="Calibri"/>
              </a:rPr>
              <a:t>COST RATIO</a:t>
            </a:r>
          </a:p>
        </xdr:txBody>
      </xdr:sp>
      <xdr:sp macro="" textlink="'CALCULATION- DÀI'!$L$3">
        <xdr:nvSpPr>
          <xdr:cNvPr id="9" name="Rectangle 8">
            <a:extLst>
              <a:ext uri="{FF2B5EF4-FFF2-40B4-BE49-F238E27FC236}">
                <a16:creationId xmlns:a16="http://schemas.microsoft.com/office/drawing/2014/main" id="{EC945D90-C564-1A3E-682D-00C24A71D1D5}"/>
              </a:ext>
            </a:extLst>
          </xdr:cNvPr>
          <xdr:cNvSpPr/>
        </xdr:nvSpPr>
        <xdr:spPr>
          <a:xfrm>
            <a:off x="2456497" y="2398756"/>
            <a:ext cx="2371726" cy="6381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AD8F09E-3646-454F-A5EB-1551B6806653}" type="TxLink">
              <a:rPr lang="en-US" sz="2400" b="1" i="0" u="none" strike="noStrike">
                <a:solidFill>
                  <a:schemeClr val="accent5">
                    <a:lumMod val="50000"/>
                  </a:schemeClr>
                </a:solidFill>
                <a:latin typeface="Arial Narrow" panose="020B0606020202030204" pitchFamily="34" charset="0"/>
                <a:ea typeface="+mn-ea"/>
                <a:cs typeface="Calibri"/>
              </a:rPr>
              <a:pPr marL="0" indent="0" algn="ctr"/>
              <a:t>100%</a:t>
            </a:fld>
            <a:endParaRPr lang="en-US" sz="2400" b="1" i="0" u="none" strike="noStrike">
              <a:solidFill>
                <a:schemeClr val="accent5">
                  <a:lumMod val="50000"/>
                </a:schemeClr>
              </a:solidFill>
              <a:latin typeface="Arial Narrow" panose="020B0606020202030204" pitchFamily="34" charset="0"/>
              <a:ea typeface="+mn-ea"/>
              <a:cs typeface="Calibri"/>
            </a:endParaRPr>
          </a:p>
        </xdr:txBody>
      </xdr:sp>
    </xdr:grpSp>
    <xdr:clientData/>
  </xdr:twoCellAnchor>
  <xdr:twoCellAnchor editAs="oneCell">
    <xdr:from>
      <xdr:col>0</xdr:col>
      <xdr:colOff>114300</xdr:colOff>
      <xdr:row>3</xdr:row>
      <xdr:rowOff>104776</xdr:rowOff>
    </xdr:from>
    <xdr:to>
      <xdr:col>4</xdr:col>
      <xdr:colOff>34636</xdr:colOff>
      <xdr:row>9</xdr:row>
      <xdr:rowOff>161925</xdr:rowOff>
    </xdr:to>
    <mc:AlternateContent xmlns:mc="http://schemas.openxmlformats.org/markup-compatibility/2006" xmlns:a14="http://schemas.microsoft.com/office/drawing/2010/main">
      <mc:Choice Requires="a14">
        <xdr:graphicFrame macro="">
          <xdr:nvGraphicFramePr>
            <xdr:cNvPr id="12" name="Chi nhánh 1">
              <a:extLst>
                <a:ext uri="{FF2B5EF4-FFF2-40B4-BE49-F238E27FC236}">
                  <a16:creationId xmlns:a16="http://schemas.microsoft.com/office/drawing/2014/main" id="{910E7BCD-37B8-4AC4-97B3-6C31B3A85605}"/>
                </a:ext>
              </a:extLst>
            </xdr:cNvPr>
            <xdr:cNvGraphicFramePr/>
          </xdr:nvGraphicFramePr>
          <xdr:xfrm>
            <a:off x="0" y="0"/>
            <a:ext cx="0" cy="0"/>
          </xdr:xfrm>
          <a:graphic>
            <a:graphicData uri="http://schemas.microsoft.com/office/drawing/2010/slicer">
              <sle:slicer xmlns:sle="http://schemas.microsoft.com/office/drawing/2010/slicer" name="Chi nhánh 1"/>
            </a:graphicData>
          </a:graphic>
        </xdr:graphicFrame>
      </mc:Choice>
      <mc:Fallback xmlns="">
        <xdr:sp macro="" textlink="">
          <xdr:nvSpPr>
            <xdr:cNvPr id="0" name=""/>
            <xdr:cNvSpPr>
              <a:spLocks noTextEdit="1"/>
            </xdr:cNvSpPr>
          </xdr:nvSpPr>
          <xdr:spPr>
            <a:xfrm>
              <a:off x="114300" y="676276"/>
              <a:ext cx="2362200" cy="1200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80818</xdr:colOff>
      <xdr:row>3</xdr:row>
      <xdr:rowOff>104776</xdr:rowOff>
    </xdr:from>
    <xdr:to>
      <xdr:col>8</xdr:col>
      <xdr:colOff>0</xdr:colOff>
      <xdr:row>9</xdr:row>
      <xdr:rowOff>180975</xdr:rowOff>
    </xdr:to>
    <mc:AlternateContent xmlns:mc="http://schemas.openxmlformats.org/markup-compatibility/2006" xmlns:a14="http://schemas.microsoft.com/office/drawing/2010/main">
      <mc:Choice Requires="a14">
        <xdr:graphicFrame macro="">
          <xdr:nvGraphicFramePr>
            <xdr:cNvPr id="13" name="Tháng 2">
              <a:extLst>
                <a:ext uri="{FF2B5EF4-FFF2-40B4-BE49-F238E27FC236}">
                  <a16:creationId xmlns:a16="http://schemas.microsoft.com/office/drawing/2014/main" id="{4FB58294-A3C3-425C-AE9E-C58320390AB4}"/>
                </a:ext>
              </a:extLst>
            </xdr:cNvPr>
            <xdr:cNvGraphicFramePr/>
          </xdr:nvGraphicFramePr>
          <xdr:xfrm>
            <a:off x="0" y="0"/>
            <a:ext cx="0" cy="0"/>
          </xdr:xfrm>
          <a:graphic>
            <a:graphicData uri="http://schemas.microsoft.com/office/drawing/2010/slicer">
              <sle:slicer xmlns:sle="http://schemas.microsoft.com/office/drawing/2010/slicer" name="Tháng 2"/>
            </a:graphicData>
          </a:graphic>
        </xdr:graphicFrame>
      </mc:Choice>
      <mc:Fallback xmlns="">
        <xdr:sp macro="" textlink="">
          <xdr:nvSpPr>
            <xdr:cNvPr id="0" name=""/>
            <xdr:cNvSpPr>
              <a:spLocks noTextEdit="1"/>
            </xdr:cNvSpPr>
          </xdr:nvSpPr>
          <xdr:spPr>
            <a:xfrm>
              <a:off x="2514599" y="676276"/>
              <a:ext cx="2352675" cy="1219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504825</xdr:colOff>
      <xdr:row>20</xdr:row>
      <xdr:rowOff>161925</xdr:rowOff>
    </xdr:from>
    <xdr:to>
      <xdr:col>20</xdr:col>
      <xdr:colOff>38100</xdr:colOff>
      <xdr:row>36</xdr:row>
      <xdr:rowOff>142874</xdr:rowOff>
    </xdr:to>
    <xdr:graphicFrame macro="">
      <xdr:nvGraphicFramePr>
        <xdr:cNvPr id="14" name="Chart 13">
          <a:extLst>
            <a:ext uri="{FF2B5EF4-FFF2-40B4-BE49-F238E27FC236}">
              <a16:creationId xmlns:a16="http://schemas.microsoft.com/office/drawing/2014/main" id="{0D0997E6-664E-49FC-AB58-9E10C38306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180975</xdr:colOff>
      <xdr:row>13</xdr:row>
      <xdr:rowOff>104774</xdr:rowOff>
    </xdr:from>
    <xdr:to>
      <xdr:col>11</xdr:col>
      <xdr:colOff>371475</xdr:colOff>
      <xdr:row>22</xdr:row>
      <xdr:rowOff>114300</xdr:rowOff>
    </xdr:to>
    <mc:AlternateContent xmlns:mc="http://schemas.openxmlformats.org/markup-compatibility/2006" xmlns:a14="http://schemas.microsoft.com/office/drawing/2010/main">
      <mc:Choice Requires="a14">
        <xdr:graphicFrame macro="">
          <xdr:nvGraphicFramePr>
            <xdr:cNvPr id="15" name="Chi nhánh 3">
              <a:extLst>
                <a:ext uri="{FF2B5EF4-FFF2-40B4-BE49-F238E27FC236}">
                  <a16:creationId xmlns:a16="http://schemas.microsoft.com/office/drawing/2014/main" id="{8D24E1C1-334D-4CD5-881E-1F5E12EE070F}"/>
                </a:ext>
              </a:extLst>
            </xdr:cNvPr>
            <xdr:cNvGraphicFramePr/>
          </xdr:nvGraphicFramePr>
          <xdr:xfrm>
            <a:off x="0" y="0"/>
            <a:ext cx="0" cy="0"/>
          </xdr:xfrm>
          <a:graphic>
            <a:graphicData uri="http://schemas.microsoft.com/office/drawing/2010/slicer">
              <sle:slicer xmlns:sle="http://schemas.microsoft.com/office/drawing/2010/slicer" name="Chi nhánh 3"/>
            </a:graphicData>
          </a:graphic>
        </xdr:graphicFrame>
      </mc:Choice>
      <mc:Fallback xmlns="">
        <xdr:sp macro="" textlink="">
          <xdr:nvSpPr>
            <xdr:cNvPr id="0" name=""/>
            <xdr:cNvSpPr>
              <a:spLocks noTextEdit="1"/>
            </xdr:cNvSpPr>
          </xdr:nvSpPr>
          <xdr:spPr>
            <a:xfrm>
              <a:off x="5057775" y="2581274"/>
              <a:ext cx="1409700" cy="1724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180975</xdr:colOff>
      <xdr:row>3</xdr:row>
      <xdr:rowOff>114300</xdr:rowOff>
    </xdr:from>
    <xdr:to>
      <xdr:col>11</xdr:col>
      <xdr:colOff>371475</xdr:colOff>
      <xdr:row>13</xdr:row>
      <xdr:rowOff>9524</xdr:rowOff>
    </xdr:to>
    <mc:AlternateContent xmlns:mc="http://schemas.openxmlformats.org/markup-compatibility/2006" xmlns:a14="http://schemas.microsoft.com/office/drawing/2010/main">
      <mc:Choice Requires="a14">
        <xdr:graphicFrame macro="">
          <xdr:nvGraphicFramePr>
            <xdr:cNvPr id="16" name="Tháng 3">
              <a:extLst>
                <a:ext uri="{FF2B5EF4-FFF2-40B4-BE49-F238E27FC236}">
                  <a16:creationId xmlns:a16="http://schemas.microsoft.com/office/drawing/2014/main" id="{75A5C8FD-9285-4EA6-B1FC-5B093202B40B}"/>
                </a:ext>
              </a:extLst>
            </xdr:cNvPr>
            <xdr:cNvGraphicFramePr/>
          </xdr:nvGraphicFramePr>
          <xdr:xfrm>
            <a:off x="0" y="0"/>
            <a:ext cx="0" cy="0"/>
          </xdr:xfrm>
          <a:graphic>
            <a:graphicData uri="http://schemas.microsoft.com/office/drawing/2010/slicer">
              <sle:slicer xmlns:sle="http://schemas.microsoft.com/office/drawing/2010/slicer" name="Tháng 3"/>
            </a:graphicData>
          </a:graphic>
        </xdr:graphicFrame>
      </mc:Choice>
      <mc:Fallback xmlns="">
        <xdr:sp macro="" textlink="">
          <xdr:nvSpPr>
            <xdr:cNvPr id="0" name=""/>
            <xdr:cNvSpPr>
              <a:spLocks noTextEdit="1"/>
            </xdr:cNvSpPr>
          </xdr:nvSpPr>
          <xdr:spPr>
            <a:xfrm>
              <a:off x="5057775" y="685800"/>
              <a:ext cx="1409700" cy="1800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152400</xdr:colOff>
      <xdr:row>23</xdr:row>
      <xdr:rowOff>76200</xdr:rowOff>
    </xdr:from>
    <xdr:to>
      <xdr:col>11</xdr:col>
      <xdr:colOff>371476</xdr:colOff>
      <xdr:row>29</xdr:row>
      <xdr:rowOff>1</xdr:rowOff>
    </xdr:to>
    <xdr:grpSp>
      <xdr:nvGrpSpPr>
        <xdr:cNvPr id="25" name="Group 24">
          <a:extLst>
            <a:ext uri="{FF2B5EF4-FFF2-40B4-BE49-F238E27FC236}">
              <a16:creationId xmlns:a16="http://schemas.microsoft.com/office/drawing/2014/main" id="{DFD7E62A-3F5E-CA92-E532-9BAC51ABEE50}"/>
            </a:ext>
          </a:extLst>
        </xdr:cNvPr>
        <xdr:cNvGrpSpPr/>
      </xdr:nvGrpSpPr>
      <xdr:grpSpPr>
        <a:xfrm>
          <a:off x="5200650" y="4471307"/>
          <a:ext cx="1443719" cy="1066801"/>
          <a:chOff x="5029200" y="4457700"/>
          <a:chExt cx="1438276" cy="1066801"/>
        </a:xfrm>
      </xdr:grpSpPr>
      <xdr:sp macro="" textlink="">
        <xdr:nvSpPr>
          <xdr:cNvPr id="18" name="Rectangle 17">
            <a:extLst>
              <a:ext uri="{FF2B5EF4-FFF2-40B4-BE49-F238E27FC236}">
                <a16:creationId xmlns:a16="http://schemas.microsoft.com/office/drawing/2014/main" id="{1D88817C-C138-2A57-8427-45152FA8D680}"/>
              </a:ext>
            </a:extLst>
          </xdr:cNvPr>
          <xdr:cNvSpPr/>
        </xdr:nvSpPr>
        <xdr:spPr>
          <a:xfrm>
            <a:off x="5029200" y="4457700"/>
            <a:ext cx="1409700" cy="981326"/>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800" b="0" i="0" u="none" strike="noStrike">
                <a:solidFill>
                  <a:schemeClr val="accent5">
                    <a:lumMod val="50000"/>
                  </a:schemeClr>
                </a:solidFill>
                <a:latin typeface="UTM Bebas" panose="02040603050506020204" pitchFamily="18" charset="0"/>
                <a:ea typeface="+mn-ea"/>
                <a:cs typeface="Calibri"/>
              </a:rPr>
              <a:t>VENDORS</a:t>
            </a:r>
          </a:p>
          <a:p>
            <a:pPr marL="0" indent="0" algn="ctr"/>
            <a:endParaRPr lang="en-US" sz="1600" b="0" i="0" u="none" strike="noStrike">
              <a:solidFill>
                <a:schemeClr val="accent5">
                  <a:lumMod val="50000"/>
                </a:schemeClr>
              </a:solidFill>
              <a:latin typeface="UTM Bebas" panose="02040603050506020204" pitchFamily="18" charset="0"/>
              <a:ea typeface="+mn-ea"/>
              <a:cs typeface="Calibri"/>
            </a:endParaRPr>
          </a:p>
        </xdr:txBody>
      </xdr:sp>
      <xdr:sp macro="" textlink="'CALCULATION- DÀI'!K3">
        <xdr:nvSpPr>
          <xdr:cNvPr id="19" name="Rectangle 18">
            <a:extLst>
              <a:ext uri="{FF2B5EF4-FFF2-40B4-BE49-F238E27FC236}">
                <a16:creationId xmlns:a16="http://schemas.microsoft.com/office/drawing/2014/main" id="{C36DEB5F-07E1-3CF3-5096-483F42336766}"/>
              </a:ext>
            </a:extLst>
          </xdr:cNvPr>
          <xdr:cNvSpPr/>
        </xdr:nvSpPr>
        <xdr:spPr>
          <a:xfrm>
            <a:off x="5057776" y="4791327"/>
            <a:ext cx="1409700" cy="7331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A1225D06-FB8B-49FA-AE04-7F636DA4E7E0}" type="TxLink">
              <a:rPr lang="en-US" sz="3200" b="1" i="0" u="none" strike="noStrike">
                <a:solidFill>
                  <a:schemeClr val="accent5">
                    <a:lumMod val="50000"/>
                  </a:schemeClr>
                </a:solidFill>
                <a:latin typeface="UTM Bebas" panose="02040603050506020204" pitchFamily="18" charset="0"/>
                <a:ea typeface="+mn-ea"/>
                <a:cs typeface="Calibri"/>
              </a:rPr>
              <a:pPr marL="0" indent="0" algn="ctr"/>
              <a:t>8</a:t>
            </a:fld>
            <a:endParaRPr lang="en-US" sz="3200" b="1" i="0" u="none" strike="noStrike">
              <a:solidFill>
                <a:schemeClr val="accent5">
                  <a:lumMod val="50000"/>
                </a:schemeClr>
              </a:solidFill>
              <a:latin typeface="UTM Bebas" panose="02040603050506020204" pitchFamily="18" charset="0"/>
              <a:ea typeface="+mn-ea"/>
              <a:cs typeface="Calibri"/>
            </a:endParaRPr>
          </a:p>
        </xdr:txBody>
      </xdr:sp>
    </xdr:grpSp>
    <xdr:clientData/>
  </xdr:twoCellAnchor>
  <xdr:twoCellAnchor>
    <xdr:from>
      <xdr:col>9</xdr:col>
      <xdr:colOff>133350</xdr:colOff>
      <xdr:row>29</xdr:row>
      <xdr:rowOff>28576</xdr:rowOff>
    </xdr:from>
    <xdr:to>
      <xdr:col>11</xdr:col>
      <xdr:colOff>400051</xdr:colOff>
      <xdr:row>34</xdr:row>
      <xdr:rowOff>152401</xdr:rowOff>
    </xdr:to>
    <xdr:grpSp>
      <xdr:nvGrpSpPr>
        <xdr:cNvPr id="26" name="Group 25">
          <a:extLst>
            <a:ext uri="{FF2B5EF4-FFF2-40B4-BE49-F238E27FC236}">
              <a16:creationId xmlns:a16="http://schemas.microsoft.com/office/drawing/2014/main" id="{86114BB0-6E47-4C38-FB63-F798DCFFABD9}"/>
            </a:ext>
          </a:extLst>
        </xdr:cNvPr>
        <xdr:cNvGrpSpPr/>
      </xdr:nvGrpSpPr>
      <xdr:grpSpPr>
        <a:xfrm>
          <a:off x="5181600" y="5566683"/>
          <a:ext cx="1491344" cy="1076325"/>
          <a:chOff x="5010150" y="5553076"/>
          <a:chExt cx="1485901" cy="1076325"/>
        </a:xfrm>
      </xdr:grpSpPr>
      <xdr:sp macro="" textlink="">
        <xdr:nvSpPr>
          <xdr:cNvPr id="21" name="Rectangle 20">
            <a:extLst>
              <a:ext uri="{FF2B5EF4-FFF2-40B4-BE49-F238E27FC236}">
                <a16:creationId xmlns:a16="http://schemas.microsoft.com/office/drawing/2014/main" id="{CAD5FE2D-B6BA-BF3B-6F04-81C72E0CFC10}"/>
              </a:ext>
            </a:extLst>
          </xdr:cNvPr>
          <xdr:cNvSpPr/>
        </xdr:nvSpPr>
        <xdr:spPr>
          <a:xfrm>
            <a:off x="5010150" y="5553076"/>
            <a:ext cx="1428750" cy="990599"/>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800" b="0" i="0" u="none" strike="noStrike">
                <a:solidFill>
                  <a:schemeClr val="accent5">
                    <a:lumMod val="50000"/>
                  </a:schemeClr>
                </a:solidFill>
                <a:latin typeface="UTM Bebas" panose="02040603050506020204" pitchFamily="18" charset="0"/>
                <a:ea typeface="+mn-ea"/>
                <a:cs typeface="Calibri"/>
              </a:rPr>
              <a:t>AVG</a:t>
            </a:r>
            <a:r>
              <a:rPr lang="en-US" sz="1800" b="0" i="0" u="none" strike="noStrike" baseline="0">
                <a:solidFill>
                  <a:schemeClr val="accent5">
                    <a:lumMod val="50000"/>
                  </a:schemeClr>
                </a:solidFill>
                <a:latin typeface="UTM Bebas" panose="02040603050506020204" pitchFamily="18" charset="0"/>
                <a:ea typeface="+mn-ea"/>
                <a:cs typeface="Calibri"/>
              </a:rPr>
              <a:t> KPI</a:t>
            </a:r>
            <a:endParaRPr lang="en-US" sz="1600" b="0" i="0" u="none" strike="noStrike" baseline="0">
              <a:solidFill>
                <a:schemeClr val="accent5">
                  <a:lumMod val="50000"/>
                </a:schemeClr>
              </a:solidFill>
              <a:latin typeface="UTM Bebas" panose="02040603050506020204" pitchFamily="18" charset="0"/>
              <a:ea typeface="+mn-ea"/>
              <a:cs typeface="Calibri"/>
            </a:endParaRPr>
          </a:p>
          <a:p>
            <a:pPr marL="0" indent="0" algn="ctr"/>
            <a:endParaRPr lang="en-US" sz="1800" b="0" i="0" u="none" strike="noStrike">
              <a:solidFill>
                <a:schemeClr val="accent5">
                  <a:lumMod val="50000"/>
                </a:schemeClr>
              </a:solidFill>
              <a:latin typeface="UTM Bebas" panose="02040603050506020204" pitchFamily="18" charset="0"/>
              <a:ea typeface="+mn-ea"/>
              <a:cs typeface="Calibri"/>
            </a:endParaRPr>
          </a:p>
        </xdr:txBody>
      </xdr:sp>
      <xdr:sp macro="" textlink="'CALCULATION- DÀI'!M3">
        <xdr:nvSpPr>
          <xdr:cNvPr id="22" name="Rectangle 21">
            <a:extLst>
              <a:ext uri="{FF2B5EF4-FFF2-40B4-BE49-F238E27FC236}">
                <a16:creationId xmlns:a16="http://schemas.microsoft.com/office/drawing/2014/main" id="{EC031DEB-A0EE-6203-850D-6B064523F72B}"/>
              </a:ext>
            </a:extLst>
          </xdr:cNvPr>
          <xdr:cNvSpPr/>
        </xdr:nvSpPr>
        <xdr:spPr>
          <a:xfrm>
            <a:off x="5057775" y="5981701"/>
            <a:ext cx="1438276" cy="647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C4BD924-64D0-4910-A683-EB9B9CA998CA}" type="TxLink">
              <a:rPr lang="en-US" sz="2400" b="1" i="0" u="none" strike="noStrike">
                <a:solidFill>
                  <a:schemeClr val="accent5">
                    <a:lumMod val="50000"/>
                  </a:schemeClr>
                </a:solidFill>
                <a:latin typeface="UTM Bebas" panose="02040603050506020204" pitchFamily="18" charset="0"/>
                <a:ea typeface="+mn-ea"/>
                <a:cs typeface="Calibri"/>
              </a:rPr>
              <a:pPr marL="0" indent="0" algn="ctr"/>
              <a:t>98.35%</a:t>
            </a:fld>
            <a:endParaRPr lang="en-US" sz="2400" b="1" i="0" u="none" strike="noStrike">
              <a:solidFill>
                <a:schemeClr val="accent5">
                  <a:lumMod val="50000"/>
                </a:schemeClr>
              </a:solidFill>
              <a:latin typeface="UTM Bebas" panose="02040603050506020204" pitchFamily="18" charset="0"/>
              <a:ea typeface="+mn-ea"/>
              <a:cs typeface="Calibri"/>
            </a:endParaRPr>
          </a:p>
        </xdr:txBody>
      </xdr:sp>
    </xdr:grpSp>
    <xdr:clientData/>
  </xdr:twoCellAnchor>
  <xdr:twoCellAnchor>
    <xdr:from>
      <xdr:col>11</xdr:col>
      <xdr:colOff>504823</xdr:colOff>
      <xdr:row>4</xdr:row>
      <xdr:rowOff>95250</xdr:rowOff>
    </xdr:from>
    <xdr:to>
      <xdr:col>20</xdr:col>
      <xdr:colOff>72571</xdr:colOff>
      <xdr:row>19</xdr:row>
      <xdr:rowOff>142875</xdr:rowOff>
    </xdr:to>
    <xdr:graphicFrame macro="">
      <xdr:nvGraphicFramePr>
        <xdr:cNvPr id="23" name="Chart 22">
          <a:extLst>
            <a:ext uri="{FF2B5EF4-FFF2-40B4-BE49-F238E27FC236}">
              <a16:creationId xmlns:a16="http://schemas.microsoft.com/office/drawing/2014/main" id="{F4AC8914-85C3-40F2-A50B-544F431241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607785</xdr:colOff>
      <xdr:row>13</xdr:row>
      <xdr:rowOff>36287</xdr:rowOff>
    </xdr:from>
    <xdr:to>
      <xdr:col>4</xdr:col>
      <xdr:colOff>45356</xdr:colOff>
      <xdr:row>15</xdr:row>
      <xdr:rowOff>54429</xdr:rowOff>
    </xdr:to>
    <xdr:sp macro="" textlink="">
      <xdr:nvSpPr>
        <xdr:cNvPr id="7" name="TextBox 6">
          <a:extLst>
            <a:ext uri="{FF2B5EF4-FFF2-40B4-BE49-F238E27FC236}">
              <a16:creationId xmlns:a16="http://schemas.microsoft.com/office/drawing/2014/main" id="{0D1C8F92-0896-BAF4-58D9-91EE19038038}"/>
            </a:ext>
          </a:extLst>
        </xdr:cNvPr>
        <xdr:cNvSpPr txBox="1"/>
      </xdr:nvSpPr>
      <xdr:spPr>
        <a:xfrm>
          <a:off x="1895928" y="2394858"/>
          <a:ext cx="72571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5">
                  <a:lumMod val="50000"/>
                </a:schemeClr>
              </a:solidFill>
              <a:latin typeface="Arial Narrow" panose="020B0606020202030204" pitchFamily="34" charset="0"/>
            </a:rPr>
            <a:t>VND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66675</xdr:colOff>
      <xdr:row>0</xdr:row>
      <xdr:rowOff>0</xdr:rowOff>
    </xdr:from>
    <xdr:to>
      <xdr:col>20</xdr:col>
      <xdr:colOff>57150</xdr:colOff>
      <xdr:row>3</xdr:row>
      <xdr:rowOff>85725</xdr:rowOff>
    </xdr:to>
    <xdr:sp macro="" textlink="">
      <xdr:nvSpPr>
        <xdr:cNvPr id="2" name="Rectangle 1">
          <a:extLst>
            <a:ext uri="{FF2B5EF4-FFF2-40B4-BE49-F238E27FC236}">
              <a16:creationId xmlns:a16="http://schemas.microsoft.com/office/drawing/2014/main" id="{4D93CAA6-E0C7-4E3A-9734-5615BC8A2750}"/>
            </a:ext>
          </a:extLst>
        </xdr:cNvPr>
        <xdr:cNvSpPr/>
      </xdr:nvSpPr>
      <xdr:spPr>
        <a:xfrm>
          <a:off x="66675" y="0"/>
          <a:ext cx="11572875" cy="657225"/>
        </a:xfrm>
        <a:prstGeom prst="rect">
          <a:avLst/>
        </a:prstGeom>
        <a:solidFill>
          <a:schemeClr val="accent4">
            <a:lumMod val="40000"/>
            <a:lumOff val="6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aseline="0">
              <a:solidFill>
                <a:schemeClr val="accent1">
                  <a:lumMod val="75000"/>
                </a:schemeClr>
              </a:solidFill>
              <a:latin typeface="UTM HelvetIns" panose="02040603050506020204" pitchFamily="18" charset="0"/>
              <a:ea typeface="+mn-ea"/>
              <a:cs typeface="+mn-cs"/>
            </a:rPr>
            <a:t>TRANSPORATION COST MONITORING  </a:t>
          </a:r>
          <a:r>
            <a:rPr lang="en-US" sz="3200" baseline="0">
              <a:solidFill>
                <a:schemeClr val="accent1">
                  <a:lumMod val="75000"/>
                </a:schemeClr>
              </a:solidFill>
              <a:latin typeface="UTM HelvetIns" panose="02040603050506020204" pitchFamily="18" charset="0"/>
            </a:rPr>
            <a:t>- LTL</a:t>
          </a:r>
          <a:endParaRPr lang="en-US" sz="3200">
            <a:solidFill>
              <a:schemeClr val="accent1">
                <a:lumMod val="75000"/>
              </a:schemeClr>
            </a:solidFill>
            <a:latin typeface="UTM HelvetIns" panose="02040603050506020204" pitchFamily="18" charset="0"/>
          </a:endParaRPr>
        </a:p>
      </xdr:txBody>
    </xdr:sp>
    <xdr:clientData/>
  </xdr:twoCellAnchor>
  <xdr:twoCellAnchor>
    <xdr:from>
      <xdr:col>0</xdr:col>
      <xdr:colOff>76200</xdr:colOff>
      <xdr:row>16</xdr:row>
      <xdr:rowOff>133350</xdr:rowOff>
    </xdr:from>
    <xdr:to>
      <xdr:col>8</xdr:col>
      <xdr:colOff>0</xdr:colOff>
      <xdr:row>36</xdr:row>
      <xdr:rowOff>152400</xdr:rowOff>
    </xdr:to>
    <xdr:graphicFrame macro="">
      <xdr:nvGraphicFramePr>
        <xdr:cNvPr id="3" name="Chart 2">
          <a:extLst>
            <a:ext uri="{FF2B5EF4-FFF2-40B4-BE49-F238E27FC236}">
              <a16:creationId xmlns:a16="http://schemas.microsoft.com/office/drawing/2014/main" id="{3643929F-F10E-4CFB-BFD0-EF5E1732E9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85725</xdr:colOff>
      <xdr:row>10</xdr:row>
      <xdr:rowOff>0</xdr:rowOff>
    </xdr:from>
    <xdr:to>
      <xdr:col>4</xdr:col>
      <xdr:colOff>19051</xdr:colOff>
      <xdr:row>15</xdr:row>
      <xdr:rowOff>133350</xdr:rowOff>
    </xdr:to>
    <xdr:sp macro="" textlink="">
      <xdr:nvSpPr>
        <xdr:cNvPr id="6" name="Rectangle 5">
          <a:extLst>
            <a:ext uri="{FF2B5EF4-FFF2-40B4-BE49-F238E27FC236}">
              <a16:creationId xmlns:a16="http://schemas.microsoft.com/office/drawing/2014/main" id="{CA4D7E32-9B88-E1E6-9CB2-B1CA44FCD140}"/>
            </a:ext>
          </a:extLst>
        </xdr:cNvPr>
        <xdr:cNvSpPr/>
      </xdr:nvSpPr>
      <xdr:spPr>
        <a:xfrm>
          <a:off x="85725" y="1905000"/>
          <a:ext cx="2371726" cy="1085850"/>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i="0" u="none" strike="noStrike">
              <a:solidFill>
                <a:schemeClr val="accent1">
                  <a:lumMod val="75000"/>
                </a:schemeClr>
              </a:solidFill>
              <a:latin typeface="UTM Bebas" panose="02040603050506020204" pitchFamily="18" charset="0"/>
              <a:cs typeface="Calibri"/>
            </a:rPr>
            <a:t>TOTAL</a:t>
          </a:r>
          <a:r>
            <a:rPr lang="en-US" sz="2400" b="1" i="0" u="none" strike="noStrike" baseline="0">
              <a:solidFill>
                <a:schemeClr val="accent1">
                  <a:lumMod val="75000"/>
                </a:schemeClr>
              </a:solidFill>
              <a:latin typeface="UTM Bebas" panose="02040603050506020204" pitchFamily="18" charset="0"/>
              <a:cs typeface="Calibri"/>
            </a:rPr>
            <a:t> COST</a:t>
          </a:r>
          <a:endParaRPr lang="en-US" sz="2000" b="1" i="0" u="none" strike="noStrike">
            <a:solidFill>
              <a:schemeClr val="accent1">
                <a:lumMod val="75000"/>
              </a:schemeClr>
            </a:solidFill>
            <a:latin typeface="UTM Bebas" panose="02040603050506020204" pitchFamily="18" charset="0"/>
            <a:cs typeface="Calibri"/>
          </a:endParaRPr>
        </a:p>
      </xdr:txBody>
    </xdr:sp>
    <xdr:clientData/>
  </xdr:twoCellAnchor>
  <xdr:twoCellAnchor>
    <xdr:from>
      <xdr:col>0</xdr:col>
      <xdr:colOff>85725</xdr:colOff>
      <xdr:row>12</xdr:row>
      <xdr:rowOff>38099</xdr:rowOff>
    </xdr:from>
    <xdr:to>
      <xdr:col>4</xdr:col>
      <xdr:colOff>19051</xdr:colOff>
      <xdr:row>15</xdr:row>
      <xdr:rowOff>95249</xdr:rowOff>
    </xdr:to>
    <xdr:sp macro="" textlink="'CALCULATION- LTL'!N4">
      <xdr:nvSpPr>
        <xdr:cNvPr id="7" name="Rectangle 6">
          <a:extLst>
            <a:ext uri="{FF2B5EF4-FFF2-40B4-BE49-F238E27FC236}">
              <a16:creationId xmlns:a16="http://schemas.microsoft.com/office/drawing/2014/main" id="{76D0B28F-1A33-0A42-A8B7-370E0B4EB64E}"/>
            </a:ext>
          </a:extLst>
        </xdr:cNvPr>
        <xdr:cNvSpPr/>
      </xdr:nvSpPr>
      <xdr:spPr>
        <a:xfrm>
          <a:off x="85725" y="2215242"/>
          <a:ext cx="2509612" cy="6014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A7CD9499-91AE-43F4-A856-3553E15EA4E2}" type="TxLink">
            <a:rPr lang="en-US" sz="2000" b="1" i="0" u="none" strike="noStrike">
              <a:solidFill>
                <a:schemeClr val="accent1">
                  <a:lumMod val="75000"/>
                </a:schemeClr>
              </a:solidFill>
              <a:latin typeface="Arial Narrow" panose="020B0606020202030204" pitchFamily="34" charset="0"/>
              <a:ea typeface="+mn-ea"/>
              <a:cs typeface="Calibri"/>
            </a:rPr>
            <a:pPr marL="0" indent="0" algn="ctr"/>
            <a:t> 4,831,254,110.86 </a:t>
          </a:fld>
          <a:endParaRPr lang="en-US" sz="2000" b="1" i="0" u="none" strike="noStrike">
            <a:solidFill>
              <a:schemeClr val="accent1">
                <a:lumMod val="75000"/>
              </a:schemeClr>
            </a:solidFill>
            <a:latin typeface="Arial Narrow" panose="020B0606020202030204" pitchFamily="34" charset="0"/>
            <a:ea typeface="+mn-ea"/>
            <a:cs typeface="Calibri"/>
          </a:endParaRPr>
        </a:p>
      </xdr:txBody>
    </xdr:sp>
    <xdr:clientData/>
  </xdr:twoCellAnchor>
  <xdr:twoCellAnchor>
    <xdr:from>
      <xdr:col>4</xdr:col>
      <xdr:colOff>47624</xdr:colOff>
      <xdr:row>10</xdr:row>
      <xdr:rowOff>1</xdr:rowOff>
    </xdr:from>
    <xdr:to>
      <xdr:col>8</xdr:col>
      <xdr:colOff>9071</xdr:colOff>
      <xdr:row>15</xdr:row>
      <xdr:rowOff>142875</xdr:rowOff>
    </xdr:to>
    <xdr:sp macro="" textlink="">
      <xdr:nvSpPr>
        <xdr:cNvPr id="9" name="Rectangle 8">
          <a:extLst>
            <a:ext uri="{FF2B5EF4-FFF2-40B4-BE49-F238E27FC236}">
              <a16:creationId xmlns:a16="http://schemas.microsoft.com/office/drawing/2014/main" id="{ADC3AF0A-5E90-FD17-6150-CAA483191D2E}"/>
            </a:ext>
          </a:extLst>
        </xdr:cNvPr>
        <xdr:cNvSpPr/>
      </xdr:nvSpPr>
      <xdr:spPr>
        <a:xfrm>
          <a:off x="2623910" y="1814287"/>
          <a:ext cx="2564947" cy="1050017"/>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400" b="1" i="0" u="none" strike="noStrike">
              <a:solidFill>
                <a:schemeClr val="accent1">
                  <a:lumMod val="75000"/>
                </a:schemeClr>
              </a:solidFill>
              <a:latin typeface="UTM Bebas" panose="02040603050506020204" pitchFamily="18" charset="0"/>
              <a:ea typeface="+mn-ea"/>
              <a:cs typeface="Calibri"/>
            </a:rPr>
            <a:t>COST RATIO</a:t>
          </a:r>
        </a:p>
      </xdr:txBody>
    </xdr:sp>
    <xdr:clientData/>
  </xdr:twoCellAnchor>
  <xdr:twoCellAnchor>
    <xdr:from>
      <xdr:col>4</xdr:col>
      <xdr:colOff>95703</xdr:colOff>
      <xdr:row>12</xdr:row>
      <xdr:rowOff>38552</xdr:rowOff>
    </xdr:from>
    <xdr:to>
      <xdr:col>7</xdr:col>
      <xdr:colOff>635000</xdr:colOff>
      <xdr:row>15</xdr:row>
      <xdr:rowOff>105227</xdr:rowOff>
    </xdr:to>
    <xdr:sp macro="" textlink="'CALCULATION- LTL'!P4">
      <xdr:nvSpPr>
        <xdr:cNvPr id="10" name="Rectangle 9">
          <a:extLst>
            <a:ext uri="{FF2B5EF4-FFF2-40B4-BE49-F238E27FC236}">
              <a16:creationId xmlns:a16="http://schemas.microsoft.com/office/drawing/2014/main" id="{4564D5A5-7704-3834-5F93-E71BBB4EB769}"/>
            </a:ext>
          </a:extLst>
        </xdr:cNvPr>
        <xdr:cNvSpPr/>
      </xdr:nvSpPr>
      <xdr:spPr>
        <a:xfrm>
          <a:off x="2671989" y="2215695"/>
          <a:ext cx="2471511" cy="61096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5D8C306C-81E5-488B-84ED-F3DB8A926738}" type="TxLink">
            <a:rPr lang="en-US" sz="2000" b="1" i="0" u="none" strike="noStrike">
              <a:solidFill>
                <a:schemeClr val="accent1">
                  <a:lumMod val="75000"/>
                </a:schemeClr>
              </a:solidFill>
              <a:latin typeface="Arial Narrow" panose="020B0606020202030204" pitchFamily="34" charset="0"/>
              <a:ea typeface="+mn-ea"/>
              <a:cs typeface="Calibri"/>
            </a:rPr>
            <a:pPr marL="0" indent="0" algn="ctr"/>
            <a:t>100.00%</a:t>
          </a:fld>
          <a:endParaRPr lang="en-US" sz="2000" b="1" i="0" u="none" strike="noStrike">
            <a:solidFill>
              <a:schemeClr val="accent1">
                <a:lumMod val="75000"/>
              </a:schemeClr>
            </a:solidFill>
            <a:latin typeface="Arial Narrow" panose="020B0606020202030204" pitchFamily="34" charset="0"/>
            <a:ea typeface="+mn-ea"/>
            <a:cs typeface="Calibri"/>
          </a:endParaRPr>
        </a:p>
      </xdr:txBody>
    </xdr:sp>
    <xdr:clientData/>
  </xdr:twoCellAnchor>
  <xdr:twoCellAnchor editAs="oneCell">
    <xdr:from>
      <xdr:col>0</xdr:col>
      <xdr:colOff>85725</xdr:colOff>
      <xdr:row>3</xdr:row>
      <xdr:rowOff>133350</xdr:rowOff>
    </xdr:from>
    <xdr:to>
      <xdr:col>4</xdr:col>
      <xdr:colOff>9525</xdr:colOff>
      <xdr:row>9</xdr:row>
      <xdr:rowOff>161924</xdr:rowOff>
    </xdr:to>
    <mc:AlternateContent xmlns:mc="http://schemas.openxmlformats.org/markup-compatibility/2006" xmlns:a14="http://schemas.microsoft.com/office/drawing/2010/main">
      <mc:Choice Requires="a14">
        <xdr:graphicFrame macro="">
          <xdr:nvGraphicFramePr>
            <xdr:cNvPr id="11" name="Chi nhánh 4">
              <a:extLst>
                <a:ext uri="{FF2B5EF4-FFF2-40B4-BE49-F238E27FC236}">
                  <a16:creationId xmlns:a16="http://schemas.microsoft.com/office/drawing/2014/main" id="{B8392EF4-08A1-45B8-B25A-2DF22331AE77}"/>
                </a:ext>
              </a:extLst>
            </xdr:cNvPr>
            <xdr:cNvGraphicFramePr/>
          </xdr:nvGraphicFramePr>
          <xdr:xfrm>
            <a:off x="0" y="0"/>
            <a:ext cx="0" cy="0"/>
          </xdr:xfrm>
          <a:graphic>
            <a:graphicData uri="http://schemas.microsoft.com/office/drawing/2010/slicer">
              <sle:slicer xmlns:sle="http://schemas.microsoft.com/office/drawing/2010/slicer" name="Chi nhánh 4"/>
            </a:graphicData>
          </a:graphic>
        </xdr:graphicFrame>
      </mc:Choice>
      <mc:Fallback xmlns="">
        <xdr:sp macro="" textlink="">
          <xdr:nvSpPr>
            <xdr:cNvPr id="0" name=""/>
            <xdr:cNvSpPr>
              <a:spLocks noTextEdit="1"/>
            </xdr:cNvSpPr>
          </xdr:nvSpPr>
          <xdr:spPr>
            <a:xfrm>
              <a:off x="85725" y="704850"/>
              <a:ext cx="236220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28574</xdr:colOff>
      <xdr:row>3</xdr:row>
      <xdr:rowOff>142875</xdr:rowOff>
    </xdr:from>
    <xdr:to>
      <xdr:col>8</xdr:col>
      <xdr:colOff>10884</xdr:colOff>
      <xdr:row>9</xdr:row>
      <xdr:rowOff>171449</xdr:rowOff>
    </xdr:to>
    <mc:AlternateContent xmlns:mc="http://schemas.openxmlformats.org/markup-compatibility/2006" xmlns:a14="http://schemas.microsoft.com/office/drawing/2010/main">
      <mc:Choice Requires="a14">
        <xdr:graphicFrame macro="">
          <xdr:nvGraphicFramePr>
            <xdr:cNvPr id="12" name="Tháng 4">
              <a:extLst>
                <a:ext uri="{FF2B5EF4-FFF2-40B4-BE49-F238E27FC236}">
                  <a16:creationId xmlns:a16="http://schemas.microsoft.com/office/drawing/2014/main" id="{D14BB2F9-51CF-4217-BC04-E3B310288F8B}"/>
                </a:ext>
              </a:extLst>
            </xdr:cNvPr>
            <xdr:cNvGraphicFramePr/>
          </xdr:nvGraphicFramePr>
          <xdr:xfrm>
            <a:off x="0" y="0"/>
            <a:ext cx="0" cy="0"/>
          </xdr:xfrm>
          <a:graphic>
            <a:graphicData uri="http://schemas.microsoft.com/office/drawing/2010/slicer">
              <sle:slicer xmlns:sle="http://schemas.microsoft.com/office/drawing/2010/slicer" name="Tháng 4"/>
            </a:graphicData>
          </a:graphic>
        </xdr:graphicFrame>
      </mc:Choice>
      <mc:Fallback xmlns="">
        <xdr:sp macro="" textlink="">
          <xdr:nvSpPr>
            <xdr:cNvPr id="0" name=""/>
            <xdr:cNvSpPr>
              <a:spLocks noTextEdit="1"/>
            </xdr:cNvSpPr>
          </xdr:nvSpPr>
          <xdr:spPr>
            <a:xfrm>
              <a:off x="2466974" y="714375"/>
              <a:ext cx="2447925"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581025</xdr:colOff>
      <xdr:row>4</xdr:row>
      <xdr:rowOff>66674</xdr:rowOff>
    </xdr:from>
    <xdr:to>
      <xdr:col>20</xdr:col>
      <xdr:colOff>47626</xdr:colOff>
      <xdr:row>19</xdr:row>
      <xdr:rowOff>114299</xdr:rowOff>
    </xdr:to>
    <xdr:graphicFrame macro="">
      <xdr:nvGraphicFramePr>
        <xdr:cNvPr id="13" name="Chart 12">
          <a:extLst>
            <a:ext uri="{FF2B5EF4-FFF2-40B4-BE49-F238E27FC236}">
              <a16:creationId xmlns:a16="http://schemas.microsoft.com/office/drawing/2014/main" id="{1475817A-6AE1-4A38-B67F-83262572A3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73482</xdr:colOff>
      <xdr:row>13</xdr:row>
      <xdr:rowOff>152400</xdr:rowOff>
    </xdr:from>
    <xdr:to>
      <xdr:col>11</xdr:col>
      <xdr:colOff>509365</xdr:colOff>
      <xdr:row>23</xdr:row>
      <xdr:rowOff>76200</xdr:rowOff>
    </xdr:to>
    <mc:AlternateContent xmlns:mc="http://schemas.openxmlformats.org/markup-compatibility/2006" xmlns:a14="http://schemas.microsoft.com/office/drawing/2010/main">
      <mc:Choice Requires="a14">
        <xdr:graphicFrame macro="">
          <xdr:nvGraphicFramePr>
            <xdr:cNvPr id="14" name="Chi nhánh 5">
              <a:extLst>
                <a:ext uri="{FF2B5EF4-FFF2-40B4-BE49-F238E27FC236}">
                  <a16:creationId xmlns:a16="http://schemas.microsoft.com/office/drawing/2014/main" id="{52DFB6D0-5C5C-45B3-BE93-F97715811635}"/>
                </a:ext>
              </a:extLst>
            </xdr:cNvPr>
            <xdr:cNvGraphicFramePr/>
          </xdr:nvGraphicFramePr>
          <xdr:xfrm>
            <a:off x="0" y="0"/>
            <a:ext cx="0" cy="0"/>
          </xdr:xfrm>
          <a:graphic>
            <a:graphicData uri="http://schemas.microsoft.com/office/drawing/2010/slicer">
              <sle:slicer xmlns:sle="http://schemas.microsoft.com/office/drawing/2010/slicer" name="Chi nhánh 5"/>
            </a:graphicData>
          </a:graphic>
        </xdr:graphicFrame>
      </mc:Choice>
      <mc:Fallback xmlns="">
        <xdr:sp macro="" textlink="">
          <xdr:nvSpPr>
            <xdr:cNvPr id="0" name=""/>
            <xdr:cNvSpPr>
              <a:spLocks noTextEdit="1"/>
            </xdr:cNvSpPr>
          </xdr:nvSpPr>
          <xdr:spPr>
            <a:xfrm>
              <a:off x="5334911" y="2520043"/>
              <a:ext cx="1488168" cy="17380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562429</xdr:colOff>
      <xdr:row>20</xdr:row>
      <xdr:rowOff>85725</xdr:rowOff>
    </xdr:from>
    <xdr:to>
      <xdr:col>20</xdr:col>
      <xdr:colOff>47625</xdr:colOff>
      <xdr:row>36</xdr:row>
      <xdr:rowOff>133350</xdr:rowOff>
    </xdr:to>
    <xdr:graphicFrame macro="">
      <xdr:nvGraphicFramePr>
        <xdr:cNvPr id="16" name="Chart 15">
          <a:extLst>
            <a:ext uri="{FF2B5EF4-FFF2-40B4-BE49-F238E27FC236}">
              <a16:creationId xmlns:a16="http://schemas.microsoft.com/office/drawing/2014/main" id="{B812BF16-852E-4AD5-B90B-7B9BC9E4EC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73937</xdr:colOff>
      <xdr:row>3</xdr:row>
      <xdr:rowOff>142875</xdr:rowOff>
    </xdr:from>
    <xdr:to>
      <xdr:col>11</xdr:col>
      <xdr:colOff>500295</xdr:colOff>
      <xdr:row>13</xdr:row>
      <xdr:rowOff>95249</xdr:rowOff>
    </xdr:to>
    <mc:AlternateContent xmlns:mc="http://schemas.openxmlformats.org/markup-compatibility/2006" xmlns:a14="http://schemas.microsoft.com/office/drawing/2010/main">
      <mc:Choice Requires="a14">
        <xdr:graphicFrame macro="">
          <xdr:nvGraphicFramePr>
            <xdr:cNvPr id="17" name="Tháng 5">
              <a:extLst>
                <a:ext uri="{FF2B5EF4-FFF2-40B4-BE49-F238E27FC236}">
                  <a16:creationId xmlns:a16="http://schemas.microsoft.com/office/drawing/2014/main" id="{5BFFBC2E-B363-4CA3-8389-35DC7672BA8F}"/>
                </a:ext>
              </a:extLst>
            </xdr:cNvPr>
            <xdr:cNvGraphicFramePr/>
          </xdr:nvGraphicFramePr>
          <xdr:xfrm>
            <a:off x="0" y="0"/>
            <a:ext cx="0" cy="0"/>
          </xdr:xfrm>
          <a:graphic>
            <a:graphicData uri="http://schemas.microsoft.com/office/drawing/2010/slicer">
              <sle:slicer xmlns:sle="http://schemas.microsoft.com/office/drawing/2010/slicer" name="Tháng 5"/>
            </a:graphicData>
          </a:graphic>
        </xdr:graphicFrame>
      </mc:Choice>
      <mc:Fallback xmlns="">
        <xdr:sp macro="" textlink="">
          <xdr:nvSpPr>
            <xdr:cNvPr id="0" name=""/>
            <xdr:cNvSpPr>
              <a:spLocks noTextEdit="1"/>
            </xdr:cNvSpPr>
          </xdr:nvSpPr>
          <xdr:spPr>
            <a:xfrm>
              <a:off x="5335366" y="696232"/>
              <a:ext cx="1478643" cy="17666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219075</xdr:colOff>
      <xdr:row>24</xdr:row>
      <xdr:rowOff>19050</xdr:rowOff>
    </xdr:from>
    <xdr:to>
      <xdr:col>11</xdr:col>
      <xdr:colOff>409575</xdr:colOff>
      <xdr:row>29</xdr:row>
      <xdr:rowOff>47876</xdr:rowOff>
    </xdr:to>
    <xdr:sp macro="" textlink="">
      <xdr:nvSpPr>
        <xdr:cNvPr id="19" name="Rectangle 18">
          <a:extLst>
            <a:ext uri="{FF2B5EF4-FFF2-40B4-BE49-F238E27FC236}">
              <a16:creationId xmlns:a16="http://schemas.microsoft.com/office/drawing/2014/main" id="{5A6382F0-399C-31C7-27C7-8161FA56206D}"/>
            </a:ext>
          </a:extLst>
        </xdr:cNvPr>
        <xdr:cNvSpPr/>
      </xdr:nvSpPr>
      <xdr:spPr>
        <a:xfrm>
          <a:off x="5095875" y="4591050"/>
          <a:ext cx="1409700" cy="981326"/>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2000" b="1" i="0" u="none" strike="noStrike">
              <a:solidFill>
                <a:schemeClr val="accent1">
                  <a:lumMod val="75000"/>
                </a:schemeClr>
              </a:solidFill>
              <a:latin typeface="UTM Bebas" panose="02040603050506020204" pitchFamily="18" charset="0"/>
              <a:ea typeface="+mn-ea"/>
              <a:cs typeface="Calibri"/>
            </a:rPr>
            <a:t>VENDORS</a:t>
          </a:r>
        </a:p>
        <a:p>
          <a:pPr marL="0" indent="0" algn="ctr"/>
          <a:endParaRPr lang="en-US" sz="1600" b="1" i="0" u="none" strike="noStrike">
            <a:solidFill>
              <a:schemeClr val="accent1">
                <a:lumMod val="75000"/>
              </a:schemeClr>
            </a:solidFill>
            <a:latin typeface="UTM Bebas" panose="02040603050506020204" pitchFamily="18" charset="0"/>
            <a:ea typeface="+mn-ea"/>
            <a:cs typeface="Calibri"/>
          </a:endParaRPr>
        </a:p>
      </xdr:txBody>
    </xdr:sp>
    <xdr:clientData/>
  </xdr:twoCellAnchor>
  <xdr:twoCellAnchor>
    <xdr:from>
      <xdr:col>9</xdr:col>
      <xdr:colOff>247651</xdr:colOff>
      <xdr:row>25</xdr:row>
      <xdr:rowOff>162177</xdr:rowOff>
    </xdr:from>
    <xdr:to>
      <xdr:col>11</xdr:col>
      <xdr:colOff>438151</xdr:colOff>
      <xdr:row>29</xdr:row>
      <xdr:rowOff>133351</xdr:rowOff>
    </xdr:to>
    <xdr:sp macro="" textlink="'CALCULATION- LTL'!O4">
      <xdr:nvSpPr>
        <xdr:cNvPr id="20" name="Rectangle 19">
          <a:extLst>
            <a:ext uri="{FF2B5EF4-FFF2-40B4-BE49-F238E27FC236}">
              <a16:creationId xmlns:a16="http://schemas.microsoft.com/office/drawing/2014/main" id="{1C88DC88-B5E8-8B1C-A839-92F349B742D3}"/>
            </a:ext>
          </a:extLst>
        </xdr:cNvPr>
        <xdr:cNvSpPr/>
      </xdr:nvSpPr>
      <xdr:spPr>
        <a:xfrm>
          <a:off x="5124451" y="4924677"/>
          <a:ext cx="1409700" cy="7331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4F2B7B88-CA11-4311-B665-4B1E250C4A74}" type="TxLink">
            <a:rPr lang="en-US" sz="2400" b="1" i="0" u="none" strike="noStrike">
              <a:solidFill>
                <a:schemeClr val="accent1">
                  <a:lumMod val="75000"/>
                </a:schemeClr>
              </a:solidFill>
              <a:latin typeface="Arial Narrow" panose="020B0606020202030204" pitchFamily="34" charset="0"/>
              <a:ea typeface="+mn-ea"/>
              <a:cs typeface="Calibri"/>
            </a:rPr>
            <a:pPr marL="0" indent="0" algn="ctr"/>
            <a:t>6</a:t>
          </a:fld>
          <a:endParaRPr lang="en-US" sz="3600" b="1" i="0" u="none" strike="noStrike">
            <a:solidFill>
              <a:schemeClr val="accent1">
                <a:lumMod val="75000"/>
              </a:schemeClr>
            </a:solidFill>
            <a:latin typeface="Arial Narrow" panose="020B0606020202030204" pitchFamily="34" charset="0"/>
            <a:ea typeface="+mn-ea"/>
            <a:cs typeface="Calibri"/>
          </a:endParaRPr>
        </a:p>
      </xdr:txBody>
    </xdr:sp>
    <xdr:clientData/>
  </xdr:twoCellAnchor>
  <xdr:twoCellAnchor>
    <xdr:from>
      <xdr:col>9</xdr:col>
      <xdr:colOff>200025</xdr:colOff>
      <xdr:row>30</xdr:row>
      <xdr:rowOff>0</xdr:rowOff>
    </xdr:from>
    <xdr:to>
      <xdr:col>11</xdr:col>
      <xdr:colOff>466726</xdr:colOff>
      <xdr:row>35</xdr:row>
      <xdr:rowOff>123825</xdr:rowOff>
    </xdr:to>
    <xdr:grpSp>
      <xdr:nvGrpSpPr>
        <xdr:cNvPr id="23" name="Group 22">
          <a:extLst>
            <a:ext uri="{FF2B5EF4-FFF2-40B4-BE49-F238E27FC236}">
              <a16:creationId xmlns:a16="http://schemas.microsoft.com/office/drawing/2014/main" id="{5C241D9A-D806-428D-A6C5-5703A909C71F}"/>
            </a:ext>
          </a:extLst>
        </xdr:cNvPr>
        <xdr:cNvGrpSpPr/>
      </xdr:nvGrpSpPr>
      <xdr:grpSpPr>
        <a:xfrm>
          <a:off x="5207454" y="5728607"/>
          <a:ext cx="1273629" cy="1076325"/>
          <a:chOff x="5010150" y="5553076"/>
          <a:chExt cx="1485901" cy="1076325"/>
        </a:xfrm>
      </xdr:grpSpPr>
      <xdr:sp macro="" textlink="">
        <xdr:nvSpPr>
          <xdr:cNvPr id="24" name="Rectangle 23">
            <a:extLst>
              <a:ext uri="{FF2B5EF4-FFF2-40B4-BE49-F238E27FC236}">
                <a16:creationId xmlns:a16="http://schemas.microsoft.com/office/drawing/2014/main" id="{91E25183-3715-F43D-3678-A43168997EBD}"/>
              </a:ext>
            </a:extLst>
          </xdr:cNvPr>
          <xdr:cNvSpPr/>
        </xdr:nvSpPr>
        <xdr:spPr>
          <a:xfrm>
            <a:off x="5010150" y="5553076"/>
            <a:ext cx="1428750" cy="990599"/>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2000" b="1" i="0" u="none" strike="noStrike">
                <a:solidFill>
                  <a:schemeClr val="accent1">
                    <a:lumMod val="75000"/>
                  </a:schemeClr>
                </a:solidFill>
                <a:latin typeface="UTM Bebas" panose="02040603050506020204" pitchFamily="18" charset="0"/>
                <a:ea typeface="+mn-ea"/>
                <a:cs typeface="Calibri"/>
              </a:rPr>
              <a:t>AVG</a:t>
            </a:r>
            <a:r>
              <a:rPr lang="en-US" sz="2000" b="1" i="0" u="none" strike="noStrike" baseline="0">
                <a:solidFill>
                  <a:schemeClr val="accent1">
                    <a:lumMod val="75000"/>
                  </a:schemeClr>
                </a:solidFill>
                <a:latin typeface="UTM Bebas" panose="02040603050506020204" pitchFamily="18" charset="0"/>
                <a:ea typeface="+mn-ea"/>
                <a:cs typeface="Calibri"/>
              </a:rPr>
              <a:t> KPI</a:t>
            </a:r>
          </a:p>
          <a:p>
            <a:pPr marL="0" indent="0" algn="ctr"/>
            <a:endParaRPr lang="en-US" sz="2000" b="1" i="0" u="none" strike="noStrike">
              <a:solidFill>
                <a:schemeClr val="accent1">
                  <a:lumMod val="75000"/>
                </a:schemeClr>
              </a:solidFill>
              <a:latin typeface="UTM Bebas" panose="02040603050506020204" pitchFamily="18" charset="0"/>
              <a:ea typeface="+mn-ea"/>
              <a:cs typeface="Calibri"/>
            </a:endParaRPr>
          </a:p>
        </xdr:txBody>
      </xdr:sp>
      <xdr:sp macro="" textlink="'CALCULATION- LTL'!Q4">
        <xdr:nvSpPr>
          <xdr:cNvPr id="25" name="Rectangle 24">
            <a:extLst>
              <a:ext uri="{FF2B5EF4-FFF2-40B4-BE49-F238E27FC236}">
                <a16:creationId xmlns:a16="http://schemas.microsoft.com/office/drawing/2014/main" id="{4C9B6DB8-F0BA-04C6-F142-43016C20B5E0}"/>
              </a:ext>
            </a:extLst>
          </xdr:cNvPr>
          <xdr:cNvSpPr/>
        </xdr:nvSpPr>
        <xdr:spPr>
          <a:xfrm>
            <a:off x="5057775" y="5981701"/>
            <a:ext cx="1438276" cy="647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009E6FF-6BB7-4179-9787-FF8564F999C2}" type="TxLink">
              <a:rPr lang="en-US" sz="2400" b="1" i="0" u="none" strike="noStrike">
                <a:solidFill>
                  <a:schemeClr val="accent1">
                    <a:lumMod val="75000"/>
                  </a:schemeClr>
                </a:solidFill>
                <a:latin typeface="UTM Bebas" panose="02040603050506020204" pitchFamily="18" charset="0"/>
                <a:ea typeface="+mn-ea"/>
                <a:cs typeface="Calibri"/>
              </a:rPr>
              <a:pPr marL="0" indent="0" algn="ctr"/>
              <a:t>94.4%</a:t>
            </a:fld>
            <a:endParaRPr lang="en-US" sz="3600" b="1" i="0" u="none" strike="noStrike">
              <a:solidFill>
                <a:schemeClr val="accent1">
                  <a:lumMod val="75000"/>
                </a:schemeClr>
              </a:solidFill>
              <a:latin typeface="UTM Bebas" panose="02040603050506020204" pitchFamily="18" charset="0"/>
              <a:ea typeface="+mn-ea"/>
              <a:cs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247650</xdr:colOff>
      <xdr:row>51</xdr:row>
      <xdr:rowOff>0</xdr:rowOff>
    </xdr:from>
    <xdr:to>
      <xdr:col>10</xdr:col>
      <xdr:colOff>25400</xdr:colOff>
      <xdr:row>59</xdr:row>
      <xdr:rowOff>31750</xdr:rowOff>
    </xdr:to>
    <mc:AlternateContent xmlns:mc="http://schemas.openxmlformats.org/markup-compatibility/2006" xmlns:a14="http://schemas.microsoft.com/office/drawing/2010/main">
      <mc:Choice Requires="a14">
        <xdr:graphicFrame macro="">
          <xdr:nvGraphicFramePr>
            <xdr:cNvPr id="5" name="SCOPE 2">
              <a:extLst>
                <a:ext uri="{FF2B5EF4-FFF2-40B4-BE49-F238E27FC236}">
                  <a16:creationId xmlns:a16="http://schemas.microsoft.com/office/drawing/2014/main" id="{BDEB7A92-3236-4AEA-B719-19A093531172}"/>
                </a:ext>
              </a:extLst>
            </xdr:cNvPr>
            <xdr:cNvGraphicFramePr/>
          </xdr:nvGraphicFramePr>
          <xdr:xfrm>
            <a:off x="0" y="0"/>
            <a:ext cx="0" cy="0"/>
          </xdr:xfrm>
          <a:graphic>
            <a:graphicData uri="http://schemas.microsoft.com/office/drawing/2010/slicer">
              <sle:slicer xmlns:sle="http://schemas.microsoft.com/office/drawing/2010/slicer" name="SCOPE 2"/>
            </a:graphicData>
          </a:graphic>
        </xdr:graphicFrame>
      </mc:Choice>
      <mc:Fallback xmlns="">
        <xdr:sp macro="" textlink="">
          <xdr:nvSpPr>
            <xdr:cNvPr id="0" name=""/>
            <xdr:cNvSpPr>
              <a:spLocks noTextEdit="1"/>
            </xdr:cNvSpPr>
          </xdr:nvSpPr>
          <xdr:spPr>
            <a:xfrm>
              <a:off x="8553450" y="9715500"/>
              <a:ext cx="1460500" cy="1555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314325</xdr:colOff>
      <xdr:row>51</xdr:row>
      <xdr:rowOff>133350</xdr:rowOff>
    </xdr:from>
    <xdr:to>
      <xdr:col>12</xdr:col>
      <xdr:colOff>466725</xdr:colOff>
      <xdr:row>64</xdr:row>
      <xdr:rowOff>180975</xdr:rowOff>
    </xdr:to>
    <mc:AlternateContent xmlns:mc="http://schemas.openxmlformats.org/markup-compatibility/2006" xmlns:a14="http://schemas.microsoft.com/office/drawing/2010/main">
      <mc:Choice Requires="a14">
        <xdr:graphicFrame macro="">
          <xdr:nvGraphicFramePr>
            <xdr:cNvPr id="6" name="VENDOR">
              <a:extLst>
                <a:ext uri="{FF2B5EF4-FFF2-40B4-BE49-F238E27FC236}">
                  <a16:creationId xmlns:a16="http://schemas.microsoft.com/office/drawing/2014/main" id="{0FF402C9-F871-9E48-6B6C-26C02F319210}"/>
                </a:ext>
              </a:extLst>
            </xdr:cNvP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mlns="">
        <xdr:sp macro="" textlink="">
          <xdr:nvSpPr>
            <xdr:cNvPr id="0" name=""/>
            <xdr:cNvSpPr>
              <a:spLocks noTextEdit="1"/>
            </xdr:cNvSpPr>
          </xdr:nvSpPr>
          <xdr:spPr>
            <a:xfrm>
              <a:off x="10306050" y="9848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0</xdr:row>
      <xdr:rowOff>0</xdr:rowOff>
    </xdr:from>
    <xdr:to>
      <xdr:col>20</xdr:col>
      <xdr:colOff>57150</xdr:colOff>
      <xdr:row>3</xdr:row>
      <xdr:rowOff>85725</xdr:rowOff>
    </xdr:to>
    <xdr:sp macro="" textlink="">
      <xdr:nvSpPr>
        <xdr:cNvPr id="19" name="Rectangle 18">
          <a:extLst>
            <a:ext uri="{FF2B5EF4-FFF2-40B4-BE49-F238E27FC236}">
              <a16:creationId xmlns:a16="http://schemas.microsoft.com/office/drawing/2014/main" id="{A6DDAEF0-D474-461D-AAB1-C7423080CC8F}"/>
            </a:ext>
          </a:extLst>
        </xdr:cNvPr>
        <xdr:cNvSpPr/>
      </xdr:nvSpPr>
      <xdr:spPr>
        <a:xfrm>
          <a:off x="66675" y="0"/>
          <a:ext cx="11458575" cy="666750"/>
        </a:xfrm>
        <a:prstGeom prst="rect">
          <a:avLst/>
        </a:prstGeom>
        <a:solidFill>
          <a:schemeClr val="accent4">
            <a:lumMod val="40000"/>
            <a:lumOff val="6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aseline="0">
              <a:solidFill>
                <a:schemeClr val="accent1">
                  <a:lumMod val="75000"/>
                </a:schemeClr>
              </a:solidFill>
              <a:latin typeface="UTM HelvetIns" panose="02040603050506020204" pitchFamily="18" charset="0"/>
              <a:ea typeface="+mn-ea"/>
              <a:cs typeface="+mn-cs"/>
            </a:rPr>
            <a:t>TRANSPORATION COST MONITORING  </a:t>
          </a:r>
          <a:r>
            <a:rPr lang="en-US" sz="3200" baseline="0">
              <a:solidFill>
                <a:schemeClr val="accent1">
                  <a:lumMod val="75000"/>
                </a:schemeClr>
              </a:solidFill>
              <a:latin typeface="UTM HelvetIns" panose="02040603050506020204" pitchFamily="18" charset="0"/>
            </a:rPr>
            <a:t>- DAVF</a:t>
          </a:r>
          <a:endParaRPr lang="en-US" sz="3200">
            <a:solidFill>
              <a:schemeClr val="accent1">
                <a:lumMod val="75000"/>
              </a:schemeClr>
            </a:solidFill>
            <a:latin typeface="UTM HelvetIns" panose="02040603050506020204" pitchFamily="18" charset="0"/>
          </a:endParaRPr>
        </a:p>
      </xdr:txBody>
    </xdr:sp>
    <xdr:clientData/>
  </xdr:twoCellAnchor>
  <xdr:twoCellAnchor>
    <xdr:from>
      <xdr:col>11</xdr:col>
      <xdr:colOff>123801</xdr:colOff>
      <xdr:row>3</xdr:row>
      <xdr:rowOff>142875</xdr:rowOff>
    </xdr:from>
    <xdr:to>
      <xdr:col>13</xdr:col>
      <xdr:colOff>593782</xdr:colOff>
      <xdr:row>8</xdr:row>
      <xdr:rowOff>127000</xdr:rowOff>
    </xdr:to>
    <xdr:sp macro="" textlink="">
      <xdr:nvSpPr>
        <xdr:cNvPr id="21" name="Rectangle 20">
          <a:extLst>
            <a:ext uri="{FF2B5EF4-FFF2-40B4-BE49-F238E27FC236}">
              <a16:creationId xmlns:a16="http://schemas.microsoft.com/office/drawing/2014/main" id="{8B5F5A73-34B5-40E4-862B-3E118D86B693}"/>
            </a:ext>
          </a:extLst>
        </xdr:cNvPr>
        <xdr:cNvSpPr/>
      </xdr:nvSpPr>
      <xdr:spPr>
        <a:xfrm>
          <a:off x="6420884" y="724958"/>
          <a:ext cx="1697648" cy="936625"/>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chemeClr val="accent1">
                  <a:lumMod val="75000"/>
                </a:schemeClr>
              </a:solidFill>
              <a:latin typeface="UTM Bebas" panose="02040603050506020204" pitchFamily="18" charset="0"/>
              <a:cs typeface="Calibri"/>
            </a:rPr>
            <a:t>DEMURAGE</a:t>
          </a:r>
          <a:r>
            <a:rPr lang="en-US" sz="1400" b="1" i="0" u="none" strike="noStrike" baseline="0">
              <a:solidFill>
                <a:schemeClr val="accent1">
                  <a:lumMod val="75000"/>
                </a:schemeClr>
              </a:solidFill>
              <a:latin typeface="UTM Bebas" panose="02040603050506020204" pitchFamily="18" charset="0"/>
              <a:cs typeface="Calibri"/>
            </a:rPr>
            <a:t> FEE</a:t>
          </a:r>
          <a:endParaRPr lang="en-US" sz="1200" b="1" i="0" u="none" strike="noStrike">
            <a:solidFill>
              <a:schemeClr val="accent1">
                <a:lumMod val="75000"/>
              </a:schemeClr>
            </a:solidFill>
            <a:latin typeface="UTM Bebas" panose="02040603050506020204" pitchFamily="18" charset="0"/>
            <a:cs typeface="Calibri"/>
          </a:endParaRPr>
        </a:p>
      </xdr:txBody>
    </xdr:sp>
    <xdr:clientData/>
  </xdr:twoCellAnchor>
  <xdr:twoCellAnchor>
    <xdr:from>
      <xdr:col>11</xdr:col>
      <xdr:colOff>35719</xdr:colOff>
      <xdr:row>5</xdr:row>
      <xdr:rowOff>155191</xdr:rowOff>
    </xdr:from>
    <xdr:to>
      <xdr:col>14</xdr:col>
      <xdr:colOff>83345</xdr:colOff>
      <xdr:row>9</xdr:row>
      <xdr:rowOff>14551</xdr:rowOff>
    </xdr:to>
    <xdr:sp macro="" textlink="'CALCULATION- DAVF'!J2">
      <xdr:nvSpPr>
        <xdr:cNvPr id="22" name="Rectangle 21">
          <a:extLst>
            <a:ext uri="{FF2B5EF4-FFF2-40B4-BE49-F238E27FC236}">
              <a16:creationId xmlns:a16="http://schemas.microsoft.com/office/drawing/2014/main" id="{B8B61AB4-AEE9-4ACF-98D3-7BC38048A98B}"/>
            </a:ext>
          </a:extLst>
        </xdr:cNvPr>
        <xdr:cNvSpPr/>
      </xdr:nvSpPr>
      <xdr:spPr>
        <a:xfrm>
          <a:off x="6274594" y="1119597"/>
          <a:ext cx="1869282" cy="6213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EE4638B-4B98-4475-AAB3-6D702157CC94}" type="TxLink">
            <a:rPr lang="en-US" sz="1800" b="1" i="0" u="none" strike="noStrike">
              <a:solidFill>
                <a:schemeClr val="accent1">
                  <a:lumMod val="75000"/>
                </a:schemeClr>
              </a:solidFill>
              <a:latin typeface="Arial Narrow" panose="020B0606020202030204" pitchFamily="34" charset="0"/>
              <a:ea typeface="+mn-ea"/>
              <a:cs typeface="Calibri"/>
            </a:rPr>
            <a:pPr marL="0" indent="0" algn="ctr"/>
            <a:t> 1,200,000.00 </a:t>
          </a:fld>
          <a:endParaRPr lang="en-US" sz="1800" b="1" i="0" u="none" strike="noStrike">
            <a:solidFill>
              <a:schemeClr val="accent1">
                <a:lumMod val="75000"/>
              </a:schemeClr>
            </a:solidFill>
            <a:latin typeface="Arial Narrow" panose="020B0606020202030204" pitchFamily="34" charset="0"/>
            <a:ea typeface="+mn-ea"/>
            <a:cs typeface="Calibri"/>
          </a:endParaRPr>
        </a:p>
      </xdr:txBody>
    </xdr:sp>
    <xdr:clientData/>
  </xdr:twoCellAnchor>
  <xdr:twoCellAnchor>
    <xdr:from>
      <xdr:col>7</xdr:col>
      <xdr:colOff>38153</xdr:colOff>
      <xdr:row>3</xdr:row>
      <xdr:rowOff>150812</xdr:rowOff>
    </xdr:from>
    <xdr:to>
      <xdr:col>10</xdr:col>
      <xdr:colOff>512532</xdr:colOff>
      <xdr:row>9</xdr:row>
      <xdr:rowOff>84137</xdr:rowOff>
    </xdr:to>
    <xdr:grpSp>
      <xdr:nvGrpSpPr>
        <xdr:cNvPr id="39" name="Group 38">
          <a:extLst>
            <a:ext uri="{FF2B5EF4-FFF2-40B4-BE49-F238E27FC236}">
              <a16:creationId xmlns:a16="http://schemas.microsoft.com/office/drawing/2014/main" id="{0993970F-9A5A-4F9A-9AA6-A2F6BEB8B163}"/>
            </a:ext>
          </a:extLst>
        </xdr:cNvPr>
        <xdr:cNvGrpSpPr/>
      </xdr:nvGrpSpPr>
      <xdr:grpSpPr>
        <a:xfrm>
          <a:off x="4324403" y="735919"/>
          <a:ext cx="1862308" cy="1076325"/>
          <a:chOff x="4288684" y="734218"/>
          <a:chExt cx="1855504" cy="1076325"/>
        </a:xfrm>
      </xdr:grpSpPr>
      <xdr:sp macro="" textlink="">
        <xdr:nvSpPr>
          <xdr:cNvPr id="34" name="Rectangle 33">
            <a:extLst>
              <a:ext uri="{FF2B5EF4-FFF2-40B4-BE49-F238E27FC236}">
                <a16:creationId xmlns:a16="http://schemas.microsoft.com/office/drawing/2014/main" id="{4033D187-FA78-5AA8-9539-18BEC94F69F2}"/>
              </a:ext>
            </a:extLst>
          </xdr:cNvPr>
          <xdr:cNvSpPr/>
        </xdr:nvSpPr>
        <xdr:spPr>
          <a:xfrm>
            <a:off x="4372500" y="734218"/>
            <a:ext cx="1771688" cy="990599"/>
          </a:xfrm>
          <a:prstGeom prst="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400" b="1" i="0" u="none" strike="noStrike">
                <a:solidFill>
                  <a:schemeClr val="accent1">
                    <a:lumMod val="75000"/>
                  </a:schemeClr>
                </a:solidFill>
                <a:latin typeface="UTM Bebas" panose="02040603050506020204" pitchFamily="18" charset="0"/>
                <a:ea typeface="+mn-ea"/>
                <a:cs typeface="Calibri"/>
              </a:rPr>
              <a:t>CBM</a:t>
            </a:r>
          </a:p>
        </xdr:txBody>
      </xdr:sp>
      <xdr:sp macro="" textlink="'CALCULATION- DAVF'!B2">
        <xdr:nvSpPr>
          <xdr:cNvPr id="35" name="Rectangle 34">
            <a:extLst>
              <a:ext uri="{FF2B5EF4-FFF2-40B4-BE49-F238E27FC236}">
                <a16:creationId xmlns:a16="http://schemas.microsoft.com/office/drawing/2014/main" id="{516D6A60-B475-D7B9-5D62-351B96CFDC81}"/>
              </a:ext>
            </a:extLst>
          </xdr:cNvPr>
          <xdr:cNvSpPr/>
        </xdr:nvSpPr>
        <xdr:spPr>
          <a:xfrm>
            <a:off x="4288684" y="1162843"/>
            <a:ext cx="1783502" cy="647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1AB9B09A-22D4-4E69-BC7E-08DFDC3A8AD0}" type="TxLink">
              <a:rPr lang="en-US" sz="2000" b="1" i="0" u="none" strike="noStrike">
                <a:solidFill>
                  <a:schemeClr val="accent1">
                    <a:lumMod val="75000"/>
                  </a:schemeClr>
                </a:solidFill>
                <a:latin typeface="UTM Bebas" panose="02040603050506020204" pitchFamily="18" charset="0"/>
                <a:ea typeface="+mn-ea"/>
                <a:cs typeface="Calibri"/>
              </a:rPr>
              <a:pPr marL="0" indent="0" algn="ctr"/>
              <a:t> 36,388 </a:t>
            </a:fld>
            <a:endParaRPr lang="en-US" sz="2000" b="1" i="0" u="none" strike="noStrike">
              <a:solidFill>
                <a:schemeClr val="accent1">
                  <a:lumMod val="75000"/>
                </a:schemeClr>
              </a:solidFill>
              <a:latin typeface="UTM Bebas" panose="02040603050506020204" pitchFamily="18" charset="0"/>
              <a:ea typeface="+mn-ea"/>
              <a:cs typeface="Calibri"/>
            </a:endParaRPr>
          </a:p>
        </xdr:txBody>
      </xdr:sp>
    </xdr:grpSp>
    <xdr:clientData/>
  </xdr:twoCellAnchor>
  <xdr:twoCellAnchor>
    <xdr:from>
      <xdr:col>11</xdr:col>
      <xdr:colOff>107156</xdr:colOff>
      <xdr:row>9</xdr:row>
      <xdr:rowOff>71438</xdr:rowOff>
    </xdr:from>
    <xdr:to>
      <xdr:col>20</xdr:col>
      <xdr:colOff>83342</xdr:colOff>
      <xdr:row>22</xdr:row>
      <xdr:rowOff>166688</xdr:rowOff>
    </xdr:to>
    <xdr:graphicFrame macro="">
      <xdr:nvGraphicFramePr>
        <xdr:cNvPr id="36" name="Chart 35">
          <a:extLst>
            <a:ext uri="{FF2B5EF4-FFF2-40B4-BE49-F238E27FC236}">
              <a16:creationId xmlns:a16="http://schemas.microsoft.com/office/drawing/2014/main" id="{38D08C74-6617-4294-9AF3-65239F558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68036</xdr:colOff>
      <xdr:row>3</xdr:row>
      <xdr:rowOff>163286</xdr:rowOff>
    </xdr:from>
    <xdr:to>
      <xdr:col>4</xdr:col>
      <xdr:colOff>42334</xdr:colOff>
      <xdr:row>10</xdr:row>
      <xdr:rowOff>13608</xdr:rowOff>
    </xdr:to>
    <mc:AlternateContent xmlns:mc="http://schemas.openxmlformats.org/markup-compatibility/2006" xmlns:a14="http://schemas.microsoft.com/office/drawing/2010/main">
      <mc:Choice Requires="a14">
        <xdr:graphicFrame macro="">
          <xdr:nvGraphicFramePr>
            <xdr:cNvPr id="37" name="ASD">
              <a:extLst>
                <a:ext uri="{FF2B5EF4-FFF2-40B4-BE49-F238E27FC236}">
                  <a16:creationId xmlns:a16="http://schemas.microsoft.com/office/drawing/2014/main" id="{BA2E5C71-F9AE-4007-8CCD-8B91F3BD58D2}"/>
                </a:ext>
              </a:extLst>
            </xdr:cNvPr>
            <xdr:cNvGraphicFramePr/>
          </xdr:nvGraphicFramePr>
          <xdr:xfrm>
            <a:off x="0" y="0"/>
            <a:ext cx="0" cy="0"/>
          </xdr:xfrm>
          <a:graphic>
            <a:graphicData uri="http://schemas.microsoft.com/office/drawing/2010/slicer">
              <sle:slicer xmlns:sle="http://schemas.microsoft.com/office/drawing/2010/slicer" name="ASD"/>
            </a:graphicData>
          </a:graphic>
        </xdr:graphicFrame>
      </mc:Choice>
      <mc:Fallback xmlns="">
        <xdr:sp macro="" textlink="">
          <xdr:nvSpPr>
            <xdr:cNvPr id="0" name=""/>
            <xdr:cNvSpPr>
              <a:spLocks noTextEdit="1"/>
            </xdr:cNvSpPr>
          </xdr:nvSpPr>
          <xdr:spPr>
            <a:xfrm>
              <a:off x="68036" y="745369"/>
              <a:ext cx="2372179" cy="1183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63501</xdr:colOff>
      <xdr:row>26</xdr:row>
      <xdr:rowOff>52916</xdr:rowOff>
    </xdr:from>
    <xdr:to>
      <xdr:col>4</xdr:col>
      <xdr:colOff>31750</xdr:colOff>
      <xdr:row>37</xdr:row>
      <xdr:rowOff>63500</xdr:rowOff>
    </xdr:to>
    <mc:AlternateContent xmlns:mc="http://schemas.openxmlformats.org/markup-compatibility/2006" xmlns:a14="http://schemas.microsoft.com/office/drawing/2010/main">
      <mc:Choice Requires="a14">
        <xdr:graphicFrame macro="">
          <xdr:nvGraphicFramePr>
            <xdr:cNvPr id="38" name="Month">
              <a:extLst>
                <a:ext uri="{FF2B5EF4-FFF2-40B4-BE49-F238E27FC236}">
                  <a16:creationId xmlns:a16="http://schemas.microsoft.com/office/drawing/2014/main" id="{3840DE2D-24B9-4007-AD51-BF84D4518A0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3501" y="5017822"/>
              <a:ext cx="2397124" cy="21060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33878</xdr:colOff>
      <xdr:row>3</xdr:row>
      <xdr:rowOff>142876</xdr:rowOff>
    </xdr:from>
    <xdr:to>
      <xdr:col>16</xdr:col>
      <xdr:colOff>585638</xdr:colOff>
      <xdr:row>8</xdr:row>
      <xdr:rowOff>130897</xdr:rowOff>
    </xdr:to>
    <xdr:sp macro="" textlink="">
      <xdr:nvSpPr>
        <xdr:cNvPr id="40" name="Rectangle 39">
          <a:extLst>
            <a:ext uri="{FF2B5EF4-FFF2-40B4-BE49-F238E27FC236}">
              <a16:creationId xmlns:a16="http://schemas.microsoft.com/office/drawing/2014/main" id="{6AFAF9B0-5D0F-4CBE-BB66-B017DE89F37F}"/>
            </a:ext>
          </a:extLst>
        </xdr:cNvPr>
        <xdr:cNvSpPr/>
      </xdr:nvSpPr>
      <xdr:spPr>
        <a:xfrm>
          <a:off x="8094409" y="726282"/>
          <a:ext cx="1766198" cy="940521"/>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chemeClr val="accent1">
                  <a:lumMod val="75000"/>
                </a:schemeClr>
              </a:solidFill>
              <a:latin typeface="UTM Bebas" panose="02040603050506020204" pitchFamily="18" charset="0"/>
              <a:cs typeface="Calibri"/>
            </a:rPr>
            <a:t>COST BY BRANCH</a:t>
          </a:r>
          <a:endParaRPr lang="en-US" sz="1200" b="1" i="0" u="none" strike="noStrike">
            <a:solidFill>
              <a:schemeClr val="accent1">
                <a:lumMod val="75000"/>
              </a:schemeClr>
            </a:solidFill>
            <a:latin typeface="UTM Bebas" panose="02040603050506020204" pitchFamily="18" charset="0"/>
            <a:cs typeface="Calibri"/>
          </a:endParaRPr>
        </a:p>
      </xdr:txBody>
    </xdr:sp>
    <xdr:clientData/>
  </xdr:twoCellAnchor>
  <xdr:twoCellAnchor>
    <xdr:from>
      <xdr:col>13</xdr:col>
      <xdr:colOff>476249</xdr:colOff>
      <xdr:row>5</xdr:row>
      <xdr:rowOff>141781</xdr:rowOff>
    </xdr:from>
    <xdr:to>
      <xdr:col>17</xdr:col>
      <xdr:colOff>71436</xdr:colOff>
      <xdr:row>8</xdr:row>
      <xdr:rowOff>180183</xdr:rowOff>
    </xdr:to>
    <xdr:sp macro="" textlink="'CALCULATION- DAVF'!I2">
      <xdr:nvSpPr>
        <xdr:cNvPr id="2" name="Rectangle 1">
          <a:extLst>
            <a:ext uri="{FF2B5EF4-FFF2-40B4-BE49-F238E27FC236}">
              <a16:creationId xmlns:a16="http://schemas.microsoft.com/office/drawing/2014/main" id="{C18E0437-727B-4402-B83B-527E5A8FB9A6}"/>
            </a:ext>
          </a:extLst>
        </xdr:cNvPr>
        <xdr:cNvSpPr/>
      </xdr:nvSpPr>
      <xdr:spPr>
        <a:xfrm>
          <a:off x="7929562" y="1106187"/>
          <a:ext cx="2024062" cy="6099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0D7A511-3C37-49F1-B811-C954273AD3D1}" type="TxLink">
            <a:rPr lang="en-US" sz="1800" b="1" i="0" u="none" strike="noStrike">
              <a:solidFill>
                <a:schemeClr val="accent1">
                  <a:lumMod val="75000"/>
                </a:schemeClr>
              </a:solidFill>
              <a:latin typeface="Arial Narrow" panose="020B0606020202030204" pitchFamily="34" charset="0"/>
              <a:ea typeface="+mn-ea"/>
              <a:cs typeface="Calibri"/>
            </a:rPr>
            <a:pPr marL="0" indent="0" algn="ctr"/>
            <a:t> 10,142,813,540 </a:t>
          </a:fld>
          <a:endParaRPr lang="en-US" sz="1800" b="1" i="0" u="none" strike="noStrike">
            <a:solidFill>
              <a:schemeClr val="accent1">
                <a:lumMod val="75000"/>
              </a:schemeClr>
            </a:solidFill>
            <a:latin typeface="Arial Narrow" panose="020B0606020202030204" pitchFamily="34" charset="0"/>
            <a:ea typeface="+mn-ea"/>
            <a:cs typeface="Calibri"/>
          </a:endParaRPr>
        </a:p>
      </xdr:txBody>
    </xdr:sp>
    <xdr:clientData/>
  </xdr:twoCellAnchor>
  <xdr:twoCellAnchor>
    <xdr:from>
      <xdr:col>17</xdr:col>
      <xdr:colOff>37814</xdr:colOff>
      <xdr:row>3</xdr:row>
      <xdr:rowOff>134937</xdr:rowOff>
    </xdr:from>
    <xdr:to>
      <xdr:col>20</xdr:col>
      <xdr:colOff>119065</xdr:colOff>
      <xdr:row>9</xdr:row>
      <xdr:rowOff>10847</xdr:rowOff>
    </xdr:to>
    <xdr:grpSp>
      <xdr:nvGrpSpPr>
        <xdr:cNvPr id="8" name="Group 7">
          <a:extLst>
            <a:ext uri="{FF2B5EF4-FFF2-40B4-BE49-F238E27FC236}">
              <a16:creationId xmlns:a16="http://schemas.microsoft.com/office/drawing/2014/main" id="{D31EC793-7874-8FDD-B22A-294459E49B14}"/>
            </a:ext>
          </a:extLst>
        </xdr:cNvPr>
        <xdr:cNvGrpSpPr/>
      </xdr:nvGrpSpPr>
      <xdr:grpSpPr>
        <a:xfrm>
          <a:off x="9998243" y="720044"/>
          <a:ext cx="1918215" cy="1018910"/>
          <a:chOff x="3460750" y="2042583"/>
          <a:chExt cx="1619354" cy="1018910"/>
        </a:xfrm>
      </xdr:grpSpPr>
      <xdr:sp macro="" textlink="">
        <xdr:nvSpPr>
          <xdr:cNvPr id="41" name="Rectangle 40">
            <a:extLst>
              <a:ext uri="{FF2B5EF4-FFF2-40B4-BE49-F238E27FC236}">
                <a16:creationId xmlns:a16="http://schemas.microsoft.com/office/drawing/2014/main" id="{1E68E659-0B81-4596-AEF8-BE3D2BE314B1}"/>
              </a:ext>
            </a:extLst>
          </xdr:cNvPr>
          <xdr:cNvSpPr/>
        </xdr:nvSpPr>
        <xdr:spPr>
          <a:xfrm>
            <a:off x="3460750" y="2042583"/>
            <a:ext cx="1566333" cy="963084"/>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chemeClr val="accent1">
                    <a:lumMod val="75000"/>
                  </a:schemeClr>
                </a:solidFill>
                <a:latin typeface="UTM Bebas" panose="02040603050506020204" pitchFamily="18" charset="0"/>
                <a:cs typeface="Calibri"/>
              </a:rPr>
              <a:t>COST</a:t>
            </a:r>
            <a:r>
              <a:rPr lang="en-US" sz="1400" b="1" i="0" u="none" strike="noStrike" baseline="0">
                <a:solidFill>
                  <a:schemeClr val="accent1">
                    <a:lumMod val="75000"/>
                  </a:schemeClr>
                </a:solidFill>
                <a:latin typeface="UTM Bebas" panose="02040603050506020204" pitchFamily="18" charset="0"/>
                <a:cs typeface="Calibri"/>
              </a:rPr>
              <a:t> RATIO</a:t>
            </a:r>
            <a:endParaRPr lang="en-US" sz="1200" b="1" i="0" u="none" strike="noStrike">
              <a:solidFill>
                <a:schemeClr val="accent1">
                  <a:lumMod val="75000"/>
                </a:schemeClr>
              </a:solidFill>
              <a:latin typeface="UTM Bebas" panose="02040603050506020204" pitchFamily="18" charset="0"/>
              <a:cs typeface="Calibri"/>
            </a:endParaRPr>
          </a:p>
        </xdr:txBody>
      </xdr:sp>
      <xdr:sp macro="" textlink="'CALCULATION- DAVF'!H2">
        <xdr:nvSpPr>
          <xdr:cNvPr id="3" name="Rectangle 2">
            <a:extLst>
              <a:ext uri="{FF2B5EF4-FFF2-40B4-BE49-F238E27FC236}">
                <a16:creationId xmlns:a16="http://schemas.microsoft.com/office/drawing/2014/main" id="{9B0DF83C-D669-4369-8C87-E883BF5394B0}"/>
              </a:ext>
            </a:extLst>
          </xdr:cNvPr>
          <xdr:cNvSpPr/>
        </xdr:nvSpPr>
        <xdr:spPr>
          <a:xfrm>
            <a:off x="3489365" y="2432843"/>
            <a:ext cx="1590739" cy="628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EAD5B0CD-F4C9-41F6-A394-8DC9CB548622}" type="TxLink">
              <a:rPr lang="en-US" sz="1800" b="1" i="0" u="none" strike="noStrike">
                <a:solidFill>
                  <a:schemeClr val="accent1">
                    <a:lumMod val="75000"/>
                  </a:schemeClr>
                </a:solidFill>
                <a:latin typeface="Arial Narrow" panose="020B0606020202030204" pitchFamily="34" charset="0"/>
                <a:ea typeface="+mn-ea"/>
                <a:cs typeface="Calibri"/>
              </a:rPr>
              <a:pPr marL="0" indent="0" algn="ctr"/>
              <a:t>100.0%</a:t>
            </a:fld>
            <a:endParaRPr lang="en-US" sz="1800" b="1" i="0" u="none" strike="noStrike">
              <a:solidFill>
                <a:schemeClr val="accent1">
                  <a:lumMod val="75000"/>
                </a:schemeClr>
              </a:solidFill>
              <a:latin typeface="Arial Narrow" panose="020B0606020202030204" pitchFamily="34" charset="0"/>
              <a:ea typeface="+mn-ea"/>
              <a:cs typeface="Calibri"/>
            </a:endParaRPr>
          </a:p>
        </xdr:txBody>
      </xdr:sp>
    </xdr:grpSp>
    <xdr:clientData/>
  </xdr:twoCellAnchor>
  <xdr:twoCellAnchor>
    <xdr:from>
      <xdr:col>4</xdr:col>
      <xdr:colOff>203731</xdr:colOff>
      <xdr:row>15</xdr:row>
      <xdr:rowOff>130969</xdr:rowOff>
    </xdr:from>
    <xdr:to>
      <xdr:col>10</xdr:col>
      <xdr:colOff>535782</xdr:colOff>
      <xdr:row>37</xdr:row>
      <xdr:rowOff>1615</xdr:rowOff>
    </xdr:to>
    <xdr:graphicFrame macro="">
      <xdr:nvGraphicFramePr>
        <xdr:cNvPr id="4" name="Chart 3">
          <a:extLst>
            <a:ext uri="{FF2B5EF4-FFF2-40B4-BE49-F238E27FC236}">
              <a16:creationId xmlns:a16="http://schemas.microsoft.com/office/drawing/2014/main" id="{CAEAB2FB-22F4-4373-BDA4-74A558FF40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84666</xdr:colOff>
      <xdr:row>17</xdr:row>
      <xdr:rowOff>137582</xdr:rowOff>
    </xdr:from>
    <xdr:to>
      <xdr:col>4</xdr:col>
      <xdr:colOff>42334</xdr:colOff>
      <xdr:row>25</xdr:row>
      <xdr:rowOff>137583</xdr:rowOff>
    </xdr:to>
    <mc:AlternateContent xmlns:mc="http://schemas.openxmlformats.org/markup-compatibility/2006" xmlns:a14="http://schemas.microsoft.com/office/drawing/2010/main">
      <mc:Choice Requires="a14">
        <xdr:graphicFrame macro="">
          <xdr:nvGraphicFramePr>
            <xdr:cNvPr id="5" name="SCOPE 1">
              <a:extLst>
                <a:ext uri="{FF2B5EF4-FFF2-40B4-BE49-F238E27FC236}">
                  <a16:creationId xmlns:a16="http://schemas.microsoft.com/office/drawing/2014/main" id="{A96605A2-A1BB-469B-A7D0-3BEAADE4CD89}"/>
                </a:ext>
              </a:extLst>
            </xdr:cNvPr>
            <xdr:cNvGraphicFramePr/>
          </xdr:nvGraphicFramePr>
          <xdr:xfrm>
            <a:off x="0" y="0"/>
            <a:ext cx="0" cy="0"/>
          </xdr:xfrm>
          <a:graphic>
            <a:graphicData uri="http://schemas.microsoft.com/office/drawing/2010/slicer">
              <sle:slicer xmlns:sle="http://schemas.microsoft.com/office/drawing/2010/slicer" name="SCOPE 1"/>
            </a:graphicData>
          </a:graphic>
        </xdr:graphicFrame>
      </mc:Choice>
      <mc:Fallback xmlns="">
        <xdr:sp macro="" textlink="">
          <xdr:nvSpPr>
            <xdr:cNvPr id="0" name=""/>
            <xdr:cNvSpPr>
              <a:spLocks noTextEdit="1"/>
            </xdr:cNvSpPr>
          </xdr:nvSpPr>
          <xdr:spPr>
            <a:xfrm>
              <a:off x="84666" y="3387988"/>
              <a:ext cx="2386543" cy="1524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84666</xdr:colOff>
      <xdr:row>10</xdr:row>
      <xdr:rowOff>74083</xdr:rowOff>
    </xdr:from>
    <xdr:to>
      <xdr:col>4</xdr:col>
      <xdr:colOff>52917</xdr:colOff>
      <xdr:row>17</xdr:row>
      <xdr:rowOff>10584</xdr:rowOff>
    </xdr:to>
    <mc:AlternateContent xmlns:mc="http://schemas.openxmlformats.org/markup-compatibility/2006" xmlns:a14="http://schemas.microsoft.com/office/drawing/2010/main">
      <mc:Choice Requires="a14">
        <xdr:graphicFrame macro="">
          <xdr:nvGraphicFramePr>
            <xdr:cNvPr id="6" name="VENDOR 1">
              <a:extLst>
                <a:ext uri="{FF2B5EF4-FFF2-40B4-BE49-F238E27FC236}">
                  <a16:creationId xmlns:a16="http://schemas.microsoft.com/office/drawing/2014/main" id="{73D58D30-E214-4864-B1FE-3DE68900403E}"/>
                </a:ext>
              </a:extLst>
            </xdr:cNvPr>
            <xdr:cNvGraphicFramePr/>
          </xdr:nvGraphicFramePr>
          <xdr:xfrm>
            <a:off x="0" y="0"/>
            <a:ext cx="0" cy="0"/>
          </xdr:xfrm>
          <a:graphic>
            <a:graphicData uri="http://schemas.microsoft.com/office/drawing/2010/slicer">
              <sle:slicer xmlns:sle="http://schemas.microsoft.com/office/drawing/2010/slicer" name="VENDOR 1"/>
            </a:graphicData>
          </a:graphic>
        </xdr:graphicFrame>
      </mc:Choice>
      <mc:Fallback xmlns="">
        <xdr:sp macro="" textlink="">
          <xdr:nvSpPr>
            <xdr:cNvPr id="0" name=""/>
            <xdr:cNvSpPr>
              <a:spLocks noTextEdit="1"/>
            </xdr:cNvSpPr>
          </xdr:nvSpPr>
          <xdr:spPr>
            <a:xfrm>
              <a:off x="84666" y="1990989"/>
              <a:ext cx="2397126" cy="1270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119062</xdr:colOff>
      <xdr:row>23</xdr:row>
      <xdr:rowOff>47625</xdr:rowOff>
    </xdr:from>
    <xdr:to>
      <xdr:col>20</xdr:col>
      <xdr:colOff>83343</xdr:colOff>
      <xdr:row>36</xdr:row>
      <xdr:rowOff>178592</xdr:rowOff>
    </xdr:to>
    <xdr:graphicFrame macro="">
      <xdr:nvGraphicFramePr>
        <xdr:cNvPr id="11" name="Chart 10">
          <a:extLst>
            <a:ext uri="{FF2B5EF4-FFF2-40B4-BE49-F238E27FC236}">
              <a16:creationId xmlns:a16="http://schemas.microsoft.com/office/drawing/2014/main" id="{0B9E30BF-D7BD-4ECE-B850-5A4CC33275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238128</xdr:colOff>
      <xdr:row>10</xdr:row>
      <xdr:rowOff>35971</xdr:rowOff>
    </xdr:from>
    <xdr:to>
      <xdr:col>6</xdr:col>
      <xdr:colOff>428945</xdr:colOff>
      <xdr:row>14</xdr:row>
      <xdr:rowOff>7145</xdr:rowOff>
    </xdr:to>
    <xdr:sp macro="" textlink="'CALCULATION- DAVF'!J2">
      <xdr:nvSpPr>
        <xdr:cNvPr id="14" name="Rectangle 13">
          <a:extLst>
            <a:ext uri="{FF2B5EF4-FFF2-40B4-BE49-F238E27FC236}">
              <a16:creationId xmlns:a16="http://schemas.microsoft.com/office/drawing/2014/main" id="{26198907-430C-D2CA-5080-3D0E6380CCBB}"/>
            </a:ext>
          </a:extLst>
        </xdr:cNvPr>
        <xdr:cNvSpPr/>
      </xdr:nvSpPr>
      <xdr:spPr>
        <a:xfrm>
          <a:off x="2667003" y="1952877"/>
          <a:ext cx="1405255" cy="7331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C8F44B2A-AF7C-4802-9379-9EA44C00E5F5}" type="TxLink">
            <a:rPr lang="en-US" sz="2400" b="1" i="0" u="none" strike="noStrike">
              <a:solidFill>
                <a:schemeClr val="accent1">
                  <a:lumMod val="75000"/>
                </a:schemeClr>
              </a:solidFill>
              <a:latin typeface="UTM Bebas" panose="02040603050506020204"/>
              <a:ea typeface="+mn-ea"/>
              <a:cs typeface="Calibri"/>
            </a:rPr>
            <a:pPr marL="0" indent="0" algn="ctr"/>
            <a:t> 1,200,000.00 </a:t>
          </a:fld>
          <a:endParaRPr lang="en-US" sz="2400" b="1" i="0" u="none" strike="noStrike">
            <a:solidFill>
              <a:schemeClr val="accent1">
                <a:lumMod val="75000"/>
              </a:schemeClr>
            </a:solidFill>
            <a:latin typeface="UTM Bebas" panose="02040603050506020204"/>
            <a:ea typeface="+mn-ea"/>
            <a:cs typeface="Calibri"/>
          </a:endParaRPr>
        </a:p>
      </xdr:txBody>
    </xdr:sp>
    <xdr:clientData/>
  </xdr:twoCellAnchor>
  <xdr:twoCellAnchor>
    <xdr:from>
      <xdr:col>7</xdr:col>
      <xdr:colOff>84667</xdr:colOff>
      <xdr:row>9</xdr:row>
      <xdr:rowOff>71438</xdr:rowOff>
    </xdr:from>
    <xdr:to>
      <xdr:col>10</xdr:col>
      <xdr:colOff>500974</xdr:colOff>
      <xdr:row>14</xdr:row>
      <xdr:rowOff>171451</xdr:rowOff>
    </xdr:to>
    <xdr:grpSp>
      <xdr:nvGrpSpPr>
        <xdr:cNvPr id="43" name="Group 42">
          <a:extLst>
            <a:ext uri="{FF2B5EF4-FFF2-40B4-BE49-F238E27FC236}">
              <a16:creationId xmlns:a16="http://schemas.microsoft.com/office/drawing/2014/main" id="{69DECEA8-166F-E355-A526-77129995662B}"/>
            </a:ext>
          </a:extLst>
        </xdr:cNvPr>
        <xdr:cNvGrpSpPr/>
      </xdr:nvGrpSpPr>
      <xdr:grpSpPr>
        <a:xfrm>
          <a:off x="4370917" y="1799545"/>
          <a:ext cx="1804236" cy="1052513"/>
          <a:chOff x="4321208" y="1797844"/>
          <a:chExt cx="1811422" cy="1052513"/>
        </a:xfrm>
      </xdr:grpSpPr>
      <xdr:sp macro="" textlink="">
        <xdr:nvSpPr>
          <xdr:cNvPr id="17" name="Rectangle 16">
            <a:extLst>
              <a:ext uri="{FF2B5EF4-FFF2-40B4-BE49-F238E27FC236}">
                <a16:creationId xmlns:a16="http://schemas.microsoft.com/office/drawing/2014/main" id="{1BF56C8A-C335-D079-797C-E562BB27256E}"/>
              </a:ext>
            </a:extLst>
          </xdr:cNvPr>
          <xdr:cNvSpPr/>
        </xdr:nvSpPr>
        <xdr:spPr>
          <a:xfrm>
            <a:off x="4369594" y="1797844"/>
            <a:ext cx="1763036" cy="990599"/>
          </a:xfrm>
          <a:prstGeom prst="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400" b="1" i="0" u="none" strike="noStrike" baseline="0">
                <a:solidFill>
                  <a:schemeClr val="accent1">
                    <a:lumMod val="75000"/>
                  </a:schemeClr>
                </a:solidFill>
                <a:latin typeface="UTM Bebas" panose="02040603050506020204" pitchFamily="18" charset="0"/>
                <a:ea typeface="+mn-ea"/>
                <a:cs typeface="Calibri"/>
              </a:rPr>
              <a:t>VND/CBM</a:t>
            </a:r>
          </a:p>
          <a:p>
            <a:pPr marL="0" indent="0" algn="ctr"/>
            <a:endParaRPr lang="en-US" sz="1400" b="1" i="0" u="none" strike="noStrike">
              <a:solidFill>
                <a:schemeClr val="accent1">
                  <a:lumMod val="75000"/>
                </a:schemeClr>
              </a:solidFill>
              <a:latin typeface="UTM Bebas" panose="02040603050506020204" pitchFamily="18" charset="0"/>
              <a:ea typeface="+mn-ea"/>
              <a:cs typeface="Calibri"/>
            </a:endParaRPr>
          </a:p>
        </xdr:txBody>
      </xdr:sp>
      <xdr:sp macro="" textlink="'CALCULATION- DAVF'!D2">
        <xdr:nvSpPr>
          <xdr:cNvPr id="18" name="Rectangle 17">
            <a:extLst>
              <a:ext uri="{FF2B5EF4-FFF2-40B4-BE49-F238E27FC236}">
                <a16:creationId xmlns:a16="http://schemas.microsoft.com/office/drawing/2014/main" id="{51C4E592-0DED-9A22-9A00-9843FB9F82C3}"/>
              </a:ext>
            </a:extLst>
          </xdr:cNvPr>
          <xdr:cNvSpPr/>
        </xdr:nvSpPr>
        <xdr:spPr>
          <a:xfrm>
            <a:off x="4321208" y="2202657"/>
            <a:ext cx="1774792" cy="647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0AF66756-1275-4EE4-B127-A49BED60BA2C}" type="TxLink">
              <a:rPr lang="en-US" sz="2000" b="1" i="0" u="none" strike="noStrike">
                <a:solidFill>
                  <a:schemeClr val="accent1">
                    <a:lumMod val="75000"/>
                  </a:schemeClr>
                </a:solidFill>
                <a:latin typeface="UTM Bebas" panose="02040603050506020204"/>
                <a:ea typeface="+mn-ea"/>
                <a:cs typeface="Calibri"/>
              </a:rPr>
              <a:pPr marL="0" indent="0" algn="ctr"/>
              <a:t> 278,742 </a:t>
            </a:fld>
            <a:endParaRPr lang="en-US" sz="2000" b="1" i="0" u="none" strike="noStrike">
              <a:solidFill>
                <a:schemeClr val="accent1">
                  <a:lumMod val="75000"/>
                </a:schemeClr>
              </a:solidFill>
              <a:latin typeface="UTM Bebas" panose="02040603050506020204"/>
              <a:ea typeface="+mn-ea"/>
              <a:cs typeface="Calibri"/>
            </a:endParaRPr>
          </a:p>
        </xdr:txBody>
      </xdr:sp>
    </xdr:grpSp>
    <xdr:clientData/>
  </xdr:twoCellAnchor>
  <xdr:twoCellAnchor>
    <xdr:from>
      <xdr:col>4</xdr:col>
      <xdr:colOff>151078</xdr:colOff>
      <xdr:row>3</xdr:row>
      <xdr:rowOff>152665</xdr:rowOff>
    </xdr:from>
    <xdr:to>
      <xdr:col>7</xdr:col>
      <xdr:colOff>112924</xdr:colOff>
      <xdr:row>9</xdr:row>
      <xdr:rowOff>97897</xdr:rowOff>
    </xdr:to>
    <xdr:grpSp>
      <xdr:nvGrpSpPr>
        <xdr:cNvPr id="26" name="Group 25">
          <a:extLst>
            <a:ext uri="{FF2B5EF4-FFF2-40B4-BE49-F238E27FC236}">
              <a16:creationId xmlns:a16="http://schemas.microsoft.com/office/drawing/2014/main" id="{52CA2AAA-6C60-0EDB-B82B-ECE881681D50}"/>
            </a:ext>
          </a:extLst>
        </xdr:cNvPr>
        <xdr:cNvGrpSpPr/>
      </xdr:nvGrpSpPr>
      <xdr:grpSpPr>
        <a:xfrm>
          <a:off x="2600364" y="737772"/>
          <a:ext cx="1798810" cy="1088232"/>
          <a:chOff x="2579953" y="736071"/>
          <a:chExt cx="1783502" cy="1088232"/>
        </a:xfrm>
      </xdr:grpSpPr>
      <xdr:sp macro="" textlink="">
        <xdr:nvSpPr>
          <xdr:cNvPr id="31" name="Rectangle 30">
            <a:extLst>
              <a:ext uri="{FF2B5EF4-FFF2-40B4-BE49-F238E27FC236}">
                <a16:creationId xmlns:a16="http://schemas.microsoft.com/office/drawing/2014/main" id="{FE9C7538-9469-446B-AE58-26D0DAFE0AD9}"/>
              </a:ext>
            </a:extLst>
          </xdr:cNvPr>
          <xdr:cNvSpPr/>
        </xdr:nvSpPr>
        <xdr:spPr>
          <a:xfrm>
            <a:off x="2667730" y="736071"/>
            <a:ext cx="1630427" cy="981326"/>
          </a:xfrm>
          <a:prstGeom prst="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400" b="1" i="0" u="none" strike="noStrike">
                <a:solidFill>
                  <a:schemeClr val="accent1">
                    <a:lumMod val="75000"/>
                  </a:schemeClr>
                </a:solidFill>
                <a:latin typeface="UTM Bebas" panose="02040603050506020204" pitchFamily="18" charset="0"/>
                <a:ea typeface="+mn-ea"/>
                <a:cs typeface="Calibri"/>
              </a:rPr>
              <a:t>TRIP</a:t>
            </a:r>
            <a:endParaRPr lang="en-US" sz="1200" b="1" i="0" u="none" strike="noStrike">
              <a:solidFill>
                <a:schemeClr val="accent1">
                  <a:lumMod val="75000"/>
                </a:schemeClr>
              </a:solidFill>
              <a:latin typeface="UTM Bebas" panose="02040603050506020204" pitchFamily="18" charset="0"/>
              <a:ea typeface="+mn-ea"/>
              <a:cs typeface="Calibri"/>
            </a:endParaRPr>
          </a:p>
        </xdr:txBody>
      </xdr:sp>
      <xdr:sp macro="" textlink="'CALCULATION- DAVF'!A2">
        <xdr:nvSpPr>
          <xdr:cNvPr id="20" name="Rectangle 19">
            <a:extLst>
              <a:ext uri="{FF2B5EF4-FFF2-40B4-BE49-F238E27FC236}">
                <a16:creationId xmlns:a16="http://schemas.microsoft.com/office/drawing/2014/main" id="{0BDC671B-DD5C-4F66-93E4-9714EFD4CD37}"/>
              </a:ext>
            </a:extLst>
          </xdr:cNvPr>
          <xdr:cNvSpPr/>
        </xdr:nvSpPr>
        <xdr:spPr>
          <a:xfrm>
            <a:off x="2579953" y="1176603"/>
            <a:ext cx="1783502" cy="647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ED2FF9F3-3BF8-48A3-88C1-46DC9C3D6F3A}" type="TxLink">
              <a:rPr lang="en-US" sz="2000" b="1" i="0" u="none" strike="noStrike">
                <a:solidFill>
                  <a:schemeClr val="accent1">
                    <a:lumMod val="75000"/>
                  </a:schemeClr>
                </a:solidFill>
                <a:latin typeface="UTM Bebas" panose="02040603050506020204" pitchFamily="18" charset="0"/>
                <a:ea typeface="+mn-ea"/>
                <a:cs typeface="Calibri"/>
              </a:rPr>
              <a:pPr marL="0" indent="0" algn="ctr"/>
              <a:t> 589 </a:t>
            </a:fld>
            <a:endParaRPr lang="en-US" sz="2000" b="1" i="0" u="none" strike="noStrike">
              <a:solidFill>
                <a:schemeClr val="accent1">
                  <a:lumMod val="75000"/>
                </a:schemeClr>
              </a:solidFill>
              <a:latin typeface="UTM Bebas" panose="02040603050506020204" pitchFamily="18" charset="0"/>
              <a:ea typeface="+mn-ea"/>
              <a:cs typeface="Calibri"/>
            </a:endParaRPr>
          </a:p>
        </xdr:txBody>
      </xdr:sp>
    </xdr:grpSp>
    <xdr:clientData/>
  </xdr:twoCellAnchor>
  <xdr:twoCellAnchor>
    <xdr:from>
      <xdr:col>4</xdr:col>
      <xdr:colOff>232834</xdr:colOff>
      <xdr:row>9</xdr:row>
      <xdr:rowOff>71438</xdr:rowOff>
    </xdr:from>
    <xdr:to>
      <xdr:col>7</xdr:col>
      <xdr:colOff>137584</xdr:colOff>
      <xdr:row>14</xdr:row>
      <xdr:rowOff>171450</xdr:rowOff>
    </xdr:to>
    <xdr:grpSp>
      <xdr:nvGrpSpPr>
        <xdr:cNvPr id="42" name="Group 41">
          <a:extLst>
            <a:ext uri="{FF2B5EF4-FFF2-40B4-BE49-F238E27FC236}">
              <a16:creationId xmlns:a16="http://schemas.microsoft.com/office/drawing/2014/main" id="{0B821E1E-7369-9A1C-232A-31A3169B324F}"/>
            </a:ext>
          </a:extLst>
        </xdr:cNvPr>
        <xdr:cNvGrpSpPr/>
      </xdr:nvGrpSpPr>
      <xdr:grpSpPr>
        <a:xfrm>
          <a:off x="2682120" y="1799545"/>
          <a:ext cx="1741714" cy="1052512"/>
          <a:chOff x="2618265" y="1797844"/>
          <a:chExt cx="1783502" cy="1052512"/>
        </a:xfrm>
      </xdr:grpSpPr>
      <xdr:sp macro="" textlink="">
        <xdr:nvSpPr>
          <xdr:cNvPr id="13" name="Rectangle 12">
            <a:extLst>
              <a:ext uri="{FF2B5EF4-FFF2-40B4-BE49-F238E27FC236}">
                <a16:creationId xmlns:a16="http://schemas.microsoft.com/office/drawing/2014/main" id="{08FA68AC-088B-18DC-B56D-C6AF2E4B0FF5}"/>
              </a:ext>
            </a:extLst>
          </xdr:cNvPr>
          <xdr:cNvSpPr/>
        </xdr:nvSpPr>
        <xdr:spPr>
          <a:xfrm>
            <a:off x="2630171" y="1797844"/>
            <a:ext cx="1667985" cy="981326"/>
          </a:xfrm>
          <a:prstGeom prst="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200" b="1" i="0" u="none" strike="noStrike">
                <a:solidFill>
                  <a:schemeClr val="accent1">
                    <a:lumMod val="75000"/>
                  </a:schemeClr>
                </a:solidFill>
                <a:latin typeface="UTM Bebas" panose="02040603050506020204" pitchFamily="18" charset="0"/>
                <a:ea typeface="+mn-ea"/>
                <a:cs typeface="Calibri"/>
              </a:rPr>
              <a:t>TOTAL COST</a:t>
            </a:r>
          </a:p>
        </xdr:txBody>
      </xdr:sp>
      <xdr:sp macro="" textlink="'CALCULATION- DAVF'!C2">
        <xdr:nvSpPr>
          <xdr:cNvPr id="25" name="Rectangle 24">
            <a:extLst>
              <a:ext uri="{FF2B5EF4-FFF2-40B4-BE49-F238E27FC236}">
                <a16:creationId xmlns:a16="http://schemas.microsoft.com/office/drawing/2014/main" id="{2DA378C1-D6C5-4DC9-B446-D1F026010AB7}"/>
              </a:ext>
            </a:extLst>
          </xdr:cNvPr>
          <xdr:cNvSpPr/>
        </xdr:nvSpPr>
        <xdr:spPr>
          <a:xfrm>
            <a:off x="2618265" y="2202656"/>
            <a:ext cx="1783502" cy="647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DD37DADA-4AE0-4E9F-A8EA-C62CA67D99B4}" type="TxLink">
              <a:rPr lang="en-US" sz="1800" b="1" i="0" u="none" strike="noStrike">
                <a:solidFill>
                  <a:schemeClr val="accent1">
                    <a:lumMod val="75000"/>
                  </a:schemeClr>
                </a:solidFill>
                <a:latin typeface="UTM Bebas" panose="02040603050506020204"/>
                <a:ea typeface="+mn-ea"/>
                <a:cs typeface="Calibri"/>
              </a:rPr>
              <a:pPr marL="0" indent="0" algn="ctr"/>
              <a:t> 10,142,813,540 </a:t>
            </a:fld>
            <a:endParaRPr lang="en-US" sz="1800" b="1" i="0" u="none" strike="noStrike">
              <a:solidFill>
                <a:schemeClr val="accent1">
                  <a:lumMod val="75000"/>
                </a:schemeClr>
              </a:solidFill>
              <a:latin typeface="UTM Bebas" panose="02040603050506020204"/>
              <a:ea typeface="+mn-ea"/>
              <a:cs typeface="Calibri"/>
            </a:endParaRPr>
          </a:p>
        </xdr:txBody>
      </xdr:sp>
    </xdr:grpSp>
    <xdr:clientData/>
  </xdr:twoCellAnchor>
</xdr:wsDr>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43402777" backgroundQuery="1" createdVersion="8" refreshedVersion="8" minRefreshableVersion="3" recordCount="0" supportSubquery="1" supportAdvancedDrill="1" xr:uid="{278783BE-27F1-4A98-99E3-C7A28CE0AD71}">
  <cacheSource type="external" connectionId="10"/>
  <cacheFields count="4">
    <cacheField name="[Table_Raw_Data__ngắn].[Nhà vận tải].[Nhà vận tải]" caption="Nhà vận tải" numFmtId="0" hierarchy="12" level="1">
      <sharedItems count="16">
        <s v="ANH MINH"/>
        <s v="CITY"/>
        <s v="GHP"/>
        <s v="HOI TU"/>
        <s v="KHANG THINH"/>
        <s v="LOGITEM"/>
        <s v="NHAT PHONG VAN"/>
        <s v="NHAT QUANG"/>
        <s v="NHAT TIN"/>
        <s v="NHUT LIEN"/>
        <s v="PHUONG ANH"/>
        <s v="PHUONG DUC"/>
        <s v="SPNL"/>
        <s v="THUAN THANH TIN"/>
        <s v="THUY ANH"/>
        <s v="VINAFCO"/>
      </sharedItems>
    </cacheField>
    <cacheField name="[Table_Raw_Data__ngắn].[Tháng].[Tháng]" caption="Tháng" numFmtId="0" hierarchy="10" level="1">
      <sharedItems containsSemiMixedTypes="0" containsNonDate="0" containsString="0"/>
    </cacheField>
    <cacheField name="[Table_Raw_Data__ngắn].[Chi nhánh].[Chi nhánh]" caption="Chi nhánh" numFmtId="0" hierarchy="11" level="1">
      <sharedItems containsSemiMixedTypes="0" containsNonDate="0" containsString="0"/>
    </cacheField>
    <cacheField name="[Measures].[Sum of Chi Phí - ngắn]" caption="Sum of Chi Phí - ngắn" numFmtId="0" hierarchy="32" level="32767"/>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2" memberValueDatatype="20" unbalanced="0">
      <fieldsUsage count="2">
        <fieldUsage x="-1"/>
        <fieldUsage x="1"/>
      </fieldsUsage>
    </cacheHierarchy>
    <cacheHierarchy uniqueName="[Table_Raw_Data__ngắn].[Chi nhánh]" caption="Chi nhánh" attribute="1" defaultMemberUniqueName="[Table_Raw_Data__ngắn].[Chi nhánh].[All]" allUniqueName="[Table_Raw_Data__ngắn].[Chi nhánh].[All]" dimensionUniqueName="[Table_Raw_Data__ngắn]" displayFolder="" count="2" memberValueDatatype="130" unbalanced="0">
      <fieldsUsage count="2">
        <fieldUsage x="-1"/>
        <fieldUsage x="2"/>
      </fieldsUsage>
    </cacheHierarchy>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2" memberValueDatatype="130" unbalanced="0">
      <fieldsUsage count="2">
        <fieldUsage x="-1"/>
        <fieldUsage x="0"/>
      </fieldsUsage>
    </cacheHierarchy>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oneField="1" hidden="1">
      <fieldsUsage count="1">
        <fieldUsage x="3"/>
      </fieldsUsage>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4479167" backgroundQuery="1" createdVersion="8" refreshedVersion="8" minRefreshableVersion="3" recordCount="0" supportSubquery="1" supportAdvancedDrill="1" xr:uid="{554EDEEA-032C-43AF-964D-7B848B730F38}">
  <cacheSource type="external" connectionId="10"/>
  <cacheFields count="7">
    <cacheField name="[Measures].[Average of KPI- ngắn]" caption="Average of KPI- ngắn" numFmtId="0" hierarchy="31" level="32767"/>
    <cacheField name="[Table_Raw_Data__ngắn].[Nhà vận tải].[Nhà vận tải]" caption="Nhà vận tải" numFmtId="0" hierarchy="12" level="1">
      <sharedItems count="16">
        <s v="ANH MINH"/>
        <s v="CITY"/>
        <s v="GHP"/>
        <s v="HOI TU"/>
        <s v="KHANG THINH"/>
        <s v="LOGITEM"/>
        <s v="NHAT PHONG VAN"/>
        <s v="NHAT QUANG"/>
        <s v="NHAT TIN"/>
        <s v="NHUT LIEN"/>
        <s v="PHUONG ANH"/>
        <s v="PHUONG DUC"/>
        <s v="SPNL"/>
        <s v="THUAN THANH TIN"/>
        <s v="THUY ANH"/>
        <s v="VINAFCO"/>
      </sharedItems>
    </cacheField>
    <cacheField name="[Measures].[Good]" caption="Good" numFmtId="0" hierarchy="22" level="32767"/>
    <cacheField name="[Measures].[Good.]" caption="Good." numFmtId="0" hierarchy="23" level="32767"/>
    <cacheField name="[Measures].[Need to improve]" caption="Need to improve" numFmtId="0" hierarchy="24" level="32767"/>
    <cacheField name="[Table_Raw_Data__ngắn].[Chi nhánh].[Chi nhánh]" caption="Chi nhánh" numFmtId="0" hierarchy="11" level="1">
      <sharedItems containsSemiMixedTypes="0" containsNonDate="0" containsString="0"/>
    </cacheField>
    <cacheField name="[Table_Raw_Data__ngắn].[Tháng].[Tháng]" caption="Tháng" numFmtId="0" hierarchy="10" level="1">
      <sharedItems containsSemiMixedTypes="0" containsNonDate="0" containsString="0"/>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2" memberValueDatatype="20" unbalanced="0">
      <fieldsUsage count="2">
        <fieldUsage x="-1"/>
        <fieldUsage x="6"/>
      </fieldsUsage>
    </cacheHierarchy>
    <cacheHierarchy uniqueName="[Table_Raw_Data__ngắn].[Chi nhánh]" caption="Chi nhánh" attribute="1" defaultMemberUniqueName="[Table_Raw_Data__ngắn].[Chi nhánh].[All]" allUniqueName="[Table_Raw_Data__ngắn].[Chi nhánh].[All]" dimensionUniqueName="[Table_Raw_Data__ngắn]" displayFolder="" count="2" memberValueDatatype="130" unbalanced="0">
      <fieldsUsage count="2">
        <fieldUsage x="-1"/>
        <fieldUsage x="5"/>
      </fieldsUsage>
    </cacheHierarchy>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2" memberValueDatatype="130" unbalanced="0">
      <fieldsUsage count="2">
        <fieldUsage x="-1"/>
        <fieldUsage x="1"/>
      </fieldsUsage>
    </cacheHierarchy>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oneField="1">
      <fieldsUsage count="1">
        <fieldUsage x="2"/>
      </fieldsUsage>
    </cacheHierarchy>
    <cacheHierarchy uniqueName="[Measures].[Good.]" caption="Good." measure="1" displayFolder="" measureGroup="Table_Raw_Data__ngắn" count="0" oneField="1">
      <fieldsUsage count="1">
        <fieldUsage x="3"/>
      </fieldsUsage>
    </cacheHierarchy>
    <cacheHierarchy uniqueName="[Measures].[Need to improve]" caption="Need to improve" measure="1" displayFolder="" measureGroup="Table_Raw_Data__ngắn" count="0" oneField="1">
      <fieldsUsage count="1">
        <fieldUsage x="4"/>
      </fieldsUsage>
    </cacheHierarchy>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53587961" backgroundQuery="1" createdVersion="8" refreshedVersion="8" minRefreshableVersion="3" recordCount="0" supportSubquery="1" supportAdvancedDrill="1" xr:uid="{BEC86063-1C0C-47A0-95E1-5C48E589845A}">
  <cacheSource type="external" connectionId="10"/>
  <cacheFields count="4">
    <cacheField name="[Measures].[Sum of Chi Phí - LTL]" caption="Sum of Chi Phí - LTL" numFmtId="0" hierarchy="36" level="32767"/>
    <cacheField name="[Table_Raw_Data___LTL].[Nhà vận tải].[Nhà vận tải]" caption="Nhà vận tải" numFmtId="0" hierarchy="7" level="1">
      <sharedItems count="6">
        <s v="NANG DONG"/>
        <s v="NETCO"/>
        <s v="NHAT QUANG"/>
        <s v="NHAT TIN"/>
        <s v="NHUT LIEN"/>
        <s v="TASETCO"/>
      </sharedItems>
    </cacheField>
    <cacheField name="[Table_Raw_Data___LTL].[Chi nhánh].[Chi nhánh]" caption="Chi nhánh" numFmtId="0" hierarchy="6" level="1">
      <sharedItems containsSemiMixedTypes="0" containsNonDate="0" containsString="0"/>
    </cacheField>
    <cacheField name="[Table_Raw_Data___LTL].[Tháng].[Tháng]" caption="Tháng" numFmtId="0" hierarchy="5" level="1">
      <sharedItems containsSemiMixedTypes="0" containsNonDate="0" containsString="0"/>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fieldsUsage count="2">
        <fieldUsage x="-1"/>
        <fieldUsage x="3"/>
      </fieldsUsage>
    </cacheHierarchy>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fieldsUsage count="2">
        <fieldUsage x="-1"/>
        <fieldUsage x="2"/>
      </fieldsUsage>
    </cacheHierarchy>
    <cacheHierarchy uniqueName="[Table_Raw_Data___LTL].[Nhà vận tải]" caption="Nhà vận tải" attribute="1" defaultMemberUniqueName="[Table_Raw_Data___LTL].[Nhà vận tải].[All]" allUniqueName="[Table_Raw_Data___LTL].[Nhà vận tải].[All]" dimensionUniqueName="[Table_Raw_Data___LTL]" displayFolder="" count="2" memberValueDatatype="130" unbalanced="0">
      <fieldsUsage count="2">
        <fieldUsage x="-1"/>
        <fieldUsage x="1"/>
      </fieldsUsage>
    </cacheHierarchy>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54976854" backgroundQuery="1" createdVersion="8" refreshedVersion="8" minRefreshableVersion="3" recordCount="0" supportSubquery="1" supportAdvancedDrill="1" xr:uid="{C255087C-188A-4668-B895-C21A6A12B5BC}">
  <cacheSource type="external" connectionId="10"/>
  <cacheFields count="7">
    <cacheField name="[Measures].[Good]" caption="Good" numFmtId="0" hierarchy="22" level="32767"/>
    <cacheField name="[Measures].[Average of KPI- LTL]" caption="Average of KPI- LTL" numFmtId="0" hierarchy="38" level="32767"/>
    <cacheField name="[Measures].[Good.]" caption="Good." numFmtId="0" hierarchy="23" level="32767"/>
    <cacheField name="[Measures].[Need to improve]" caption="Need to improve" numFmtId="0" hierarchy="24" level="32767"/>
    <cacheField name="[Table_Raw_Data___LTL].[Nhà vận tải].[Nhà vận tải]" caption="Nhà vận tải" numFmtId="0" hierarchy="7" level="1">
      <sharedItems count="6">
        <s v="NANG DONG"/>
        <s v="NETCO"/>
        <s v="NHAT QUANG"/>
        <s v="NHAT TIN"/>
        <s v="NHUT LIEN"/>
        <s v="TASETCO"/>
      </sharedItems>
    </cacheField>
    <cacheField name="[Table_Raw_Data___LTL].[Chi nhánh].[Chi nhánh]" caption="Chi nhánh" numFmtId="0" hierarchy="6" level="1">
      <sharedItems containsSemiMixedTypes="0" containsNonDate="0" containsString="0"/>
    </cacheField>
    <cacheField name="[Table_Raw_Data___LTL].[Tháng].[Tháng]" caption="Tháng" numFmtId="0" hierarchy="5" level="1">
      <sharedItems containsSemiMixedTypes="0" containsNonDate="0" containsString="0"/>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fieldsUsage count="2">
        <fieldUsage x="-1"/>
        <fieldUsage x="6"/>
      </fieldsUsage>
    </cacheHierarchy>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fieldsUsage count="2">
        <fieldUsage x="-1"/>
        <fieldUsage x="5"/>
      </fieldsUsage>
    </cacheHierarchy>
    <cacheHierarchy uniqueName="[Table_Raw_Data___LTL].[Nhà vận tải]" caption="Nhà vận tải" attribute="1" defaultMemberUniqueName="[Table_Raw_Data___LTL].[Nhà vận tải].[All]" allUniqueName="[Table_Raw_Data___LTL].[Nhà vận tải].[All]" dimensionUniqueName="[Table_Raw_Data___LTL]" displayFolder="" count="2" memberValueDatatype="130" unbalanced="0">
      <fieldsUsage count="2">
        <fieldUsage x="-1"/>
        <fieldUsage x="4"/>
      </fieldsUsage>
    </cacheHierarchy>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oneField="1">
      <fieldsUsage count="1">
        <fieldUsage x="0"/>
      </fieldsUsage>
    </cacheHierarchy>
    <cacheHierarchy uniqueName="[Measures].[Good.]" caption="Good." measure="1" displayFolder="" measureGroup="Table_Raw_Data__ngắn" count="0" oneField="1">
      <fieldsUsage count="1">
        <fieldUsage x="2"/>
      </fieldsUsage>
    </cacheHierarchy>
    <cacheHierarchy uniqueName="[Measures].[Need to improve]" caption="Need to improve" measure="1" displayFolder="" measureGroup="Table_Raw_Data__ngắn" count="0" oneField="1">
      <fieldsUsage count="1">
        <fieldUsage x="3"/>
      </fieldsUsage>
    </cacheHierarchy>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62152774" backgroundQuery="1" createdVersion="8" refreshedVersion="8" minRefreshableVersion="3" recordCount="0" supportSubquery="1" supportAdvancedDrill="1" xr:uid="{1AD9DCEB-5E10-4BC0-AB70-1EE3515CE8A9}">
  <cacheSource type="external" connectionId="10"/>
  <cacheFields count="3">
    <cacheField name="[Table_Raw_Data___LTL].[Tháng].[Tháng]" caption="Tháng" numFmtId="0" hierarchy="5" level="1">
      <sharedItems containsSemiMixedTypes="0" containsString="0" containsNumber="1" containsInteger="1" minValue="4" maxValue="8" count="5">
        <n v="4"/>
        <n v="5"/>
        <n v="6"/>
        <n v="7"/>
        <n v="8"/>
      </sharedItems>
      <extLst>
        <ext xmlns:x15="http://schemas.microsoft.com/office/spreadsheetml/2010/11/main" uri="{4F2E5C28-24EA-4eb8-9CBF-B6C8F9C3D259}">
          <x15:cachedUniqueNames>
            <x15:cachedUniqueName index="0" name="[Table_Raw_Data___LTL].[Tháng].&amp;[4]"/>
            <x15:cachedUniqueName index="1" name="[Table_Raw_Data___LTL].[Tháng].&amp;[5]"/>
            <x15:cachedUniqueName index="2" name="[Table_Raw_Data___LTL].[Tháng].&amp;[6]"/>
            <x15:cachedUniqueName index="3" name="[Table_Raw_Data___LTL].[Tháng].&amp;[7]"/>
            <x15:cachedUniqueName index="4" name="[Table_Raw_Data___LTL].[Tháng].&amp;[8]"/>
          </x15:cachedUniqueNames>
        </ext>
      </extLst>
    </cacheField>
    <cacheField name="[Table_Raw_Data___LTL].[Chi nhánh].[Chi nhánh]" caption="Chi nhánh" numFmtId="0" hierarchy="6" level="1">
      <sharedItems count="8">
        <s v="CT"/>
        <s v="DN"/>
        <s v="HCM"/>
        <s v="HN"/>
        <s v="HP"/>
        <s v="KH"/>
        <s v="NA"/>
        <s v="PC"/>
      </sharedItems>
    </cacheField>
    <cacheField name="[Measures].[Sum of Chi Phí - LTL]" caption="Sum of Chi Phí - LTL" numFmtId="0" hierarchy="36" level="32767"/>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fieldsUsage count="2">
        <fieldUsage x="-1"/>
        <fieldUsage x="0"/>
      </fieldsUsage>
    </cacheHierarchy>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fieldsUsage count="2">
        <fieldUsage x="-1"/>
        <fieldUsage x="1"/>
      </fieldsUsage>
    </cacheHierarchy>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69560187" backgroundQuery="1" createdVersion="8" refreshedVersion="8" minRefreshableVersion="3" recordCount="0" supportSubquery="1" supportAdvancedDrill="1" xr:uid="{FBD7F9ED-E1C3-49C8-B934-9FAF35983CC7}">
  <cacheSource type="external" connectionId="10"/>
  <cacheFields count="4">
    <cacheField name="[Measures].[Sum of Chi Phí- Dài]" caption="Sum of Chi Phí- Dài" numFmtId="0" hierarchy="33" level="32767"/>
    <cacheField name="[Table_Raw_Data___dài].[Nhà vận tải].[Nhà vận tải]" caption="Nhà vận tải" numFmtId="0" hierarchy="2" level="1">
      <sharedItems count="8">
        <s v="INTERLOG"/>
        <s v="LOGITEM"/>
        <s v="NHAT PHONG VAN"/>
        <s v="NHAT QUANG"/>
        <s v="NHUT LIEN"/>
        <s v="PHUONG ANH"/>
        <s v="THUAN THANH TIN"/>
        <s v="VINAFCO"/>
      </sharedItems>
    </cacheField>
    <cacheField name="[Table_Raw_Data___dài].[Chi nhánh].[Chi nhánh]" caption="Chi nhánh" numFmtId="0" hierarchy="1" level="1">
      <sharedItems containsSemiMixedTypes="0" containsNonDate="0" containsString="0"/>
    </cacheField>
    <cacheField name="[Table_Raw_Data___dài].[Tháng].[Tháng]" caption="Tháng" numFmtId="0" level="1">
      <sharedItems containsSemiMixedTypes="0" containsNonDate="0" containsString="0"/>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2" memberValueDatatype="20" unbalanced="0">
      <fieldsUsage count="2">
        <fieldUsage x="-1"/>
        <fieldUsage x="3"/>
      </fieldsUsage>
    </cacheHierarchy>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fieldsUsage count="2">
        <fieldUsage x="-1"/>
        <fieldUsage x="2"/>
      </fieldsUsage>
    </cacheHierarchy>
    <cacheHierarchy uniqueName="[Table_Raw_Data___dài].[Nhà vận tải]" caption="Nhà vận tải" attribute="1" defaultMemberUniqueName="[Table_Raw_Data___dài].[Nhà vận tải].[All]" allUniqueName="[Table_Raw_Data___dài].[Nhà vận tải].[All]" dimensionUniqueName="[Table_Raw_Data___dài]" displayFolder="" count="2" memberValueDatatype="130" unbalanced="0">
      <fieldsUsage count="2">
        <fieldUsage x="-1"/>
        <fieldUsage x="1"/>
      </fieldsUsage>
    </cacheHierarchy>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70833334" backgroundQuery="1" createdVersion="8" refreshedVersion="8" minRefreshableVersion="3" recordCount="0" supportSubquery="1" supportAdvancedDrill="1" xr:uid="{A66C41EB-83DC-40AB-91C4-02C21482801B}">
  <cacheSource type="external" connectionId="10"/>
  <cacheFields count="7">
    <cacheField name="[Table_Raw_Data___dài].[Nhà vận tải].[Nhà vận tải]" caption="Nhà vận tải" numFmtId="0" hierarchy="2" level="1">
      <sharedItems count="8">
        <s v="INTERLOG"/>
        <s v="LOGITEM"/>
        <s v="NHAT PHONG VAN"/>
        <s v="NHAT QUANG"/>
        <s v="NHUT LIEN"/>
        <s v="PHUONG ANH"/>
        <s v="THUAN THANH TIN"/>
        <s v="VINAFCO"/>
      </sharedItems>
    </cacheField>
    <cacheField name="[Measures].[Average of KPI-dài]" caption="Average of KPI-dài" numFmtId="0" hierarchy="35" level="32767"/>
    <cacheField name="[Measures].[Good]" caption="Good" numFmtId="0" hierarchy="22" level="32767"/>
    <cacheField name="[Measures].[Good.]" caption="Good." numFmtId="0" hierarchy="23" level="32767"/>
    <cacheField name="[Measures].[Need to improve]" caption="Need to improve" numFmtId="0" hierarchy="24" level="32767"/>
    <cacheField name="[Table_Raw_Data___dài].[Chi nhánh].[Chi nhánh]" caption="Chi nhánh" numFmtId="0" hierarchy="1" level="1">
      <sharedItems containsSemiMixedTypes="0" containsNonDate="0" containsString="0"/>
    </cacheField>
    <cacheField name="[Table_Raw_Data___dài].[Tháng].[Tháng]" caption="Tháng" numFmtId="0" level="1">
      <sharedItems containsSemiMixedTypes="0" containsNonDate="0" containsString="0"/>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2" memberValueDatatype="20" unbalanced="0">
      <fieldsUsage count="2">
        <fieldUsage x="-1"/>
        <fieldUsage x="6"/>
      </fieldsUsage>
    </cacheHierarchy>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fieldsUsage count="2">
        <fieldUsage x="-1"/>
        <fieldUsage x="5"/>
      </fieldsUsage>
    </cacheHierarchy>
    <cacheHierarchy uniqueName="[Table_Raw_Data___dài].[Nhà vận tải]" caption="Nhà vận tải" attribute="1" defaultMemberUniqueName="[Table_Raw_Data___dài].[Nhà vận tải].[All]" allUniqueName="[Table_Raw_Data___dài].[Nhà vận tải].[All]" dimensionUniqueName="[Table_Raw_Data___dài]" displayFolder="" count="2" memberValueDatatype="130" unbalanced="0">
      <fieldsUsage count="2">
        <fieldUsage x="-1"/>
        <fieldUsage x="0"/>
      </fieldsUsage>
    </cacheHierarchy>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oneField="1">
      <fieldsUsage count="1">
        <fieldUsage x="2"/>
      </fieldsUsage>
    </cacheHierarchy>
    <cacheHierarchy uniqueName="[Measures].[Good.]" caption="Good." measure="1" displayFolder="" measureGroup="Table_Raw_Data__ngắn" count="0" oneField="1">
      <fieldsUsage count="1">
        <fieldUsage x="3"/>
      </fieldsUsage>
    </cacheHierarchy>
    <cacheHierarchy uniqueName="[Measures].[Need to improve]" caption="Need to improve" measure="1" displayFolder="" measureGroup="Table_Raw_Data__ngắn" count="0" oneField="1">
      <fieldsUsage count="1">
        <fieldUsage x="4"/>
      </fieldsUsage>
    </cacheHierarchy>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77777777" backgroundQuery="1" createdVersion="8" refreshedVersion="8" minRefreshableVersion="3" recordCount="0" supportSubquery="1" supportAdvancedDrill="1" xr:uid="{BB1A34E3-AC32-41FA-A7D0-919471F1FD6E}">
  <cacheSource type="external" connectionId="10"/>
  <cacheFields count="3">
    <cacheField name="[Measures].[Sum of Chi Phí- Dài]" caption="Sum of Chi Phí- Dài" numFmtId="0" hierarchy="33" level="32767"/>
    <cacheField name="[Table_Raw_Data___dài].[Chi nhánh].[Chi nhánh]" caption="Chi nhánh" numFmtId="0" hierarchy="1" level="1">
      <sharedItems count="3">
        <s v="DN"/>
        <s v="HCM"/>
        <s v="HN"/>
      </sharedItems>
    </cacheField>
    <cacheField name="[Table_Raw_Data___dài].[Tháng].[Tháng]" caption="Tháng" numFmtId="0" level="1">
      <sharedItems containsSemiMixedTypes="0" containsString="0" containsNumber="1" containsInteger="1" minValue="4" maxValue="8" count="5">
        <n v="4"/>
        <n v="5"/>
        <n v="6"/>
        <n v="7"/>
        <n v="8"/>
      </sharedItems>
      <extLst>
        <ext xmlns:x15="http://schemas.microsoft.com/office/spreadsheetml/2010/11/main" uri="{4F2E5C28-24EA-4eb8-9CBF-B6C8F9C3D259}">
          <x15:cachedUniqueNames>
            <x15:cachedUniqueName index="0" name="[Table_Raw_Data___dài].[Tháng].&amp;[4]"/>
            <x15:cachedUniqueName index="1" name="[Table_Raw_Data___dài].[Tháng].&amp;[5]"/>
            <x15:cachedUniqueName index="2" name="[Table_Raw_Data___dài].[Tháng].&amp;[6]"/>
            <x15:cachedUniqueName index="3" name="[Table_Raw_Data___dài].[Tháng].&amp;[7]"/>
            <x15:cachedUniqueName index="4" name="[Table_Raw_Data___dài].[Tháng].&amp;[8]"/>
          </x15:cachedUniqueNames>
        </ext>
      </extLst>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2" memberValueDatatype="20" unbalanced="0">
      <fieldsUsage count="2">
        <fieldUsage x="-1"/>
        <fieldUsage x="2"/>
      </fieldsUsage>
    </cacheHierarchy>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fieldsUsage count="2">
        <fieldUsage x="-1"/>
        <fieldUsage x="1"/>
      </fieldsUsage>
    </cacheHierarchy>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86458336" backgroundQuery="1" createdVersion="8" refreshedVersion="8" minRefreshableVersion="3" recordCount="0" supportSubquery="1" supportAdvancedDrill="1" xr:uid="{3555DABA-9C84-4E63-8892-CD3E622898B3}">
  <cacheSource type="external" connectionId="10"/>
  <cacheFields count="5">
    <cacheField name="[TRANSPORTATION_COST___RAW_DATA___FACTORY].[Branch].[Branch]" caption="Branch" numFmtId="0" hierarchy="15" level="1">
      <sharedItems count="7">
        <s v="CT"/>
        <s v="DN"/>
        <s v="HCM"/>
        <s v="HN"/>
        <s v="HP"/>
        <s v="NA"/>
        <s v="TOTAL"/>
      </sharedItems>
    </cacheField>
    <cacheField name="[TRANSPORTATION_COST___RAW_DATA___FACTORY].[VENDOR].[VENDOR]" caption="VENDOR" numFmtId="0" hierarchy="18" level="1">
      <sharedItems count="6">
        <s v="BUU CHINH"/>
        <s v="DRAGON"/>
        <s v="HAI AN"/>
        <s v="HP điều xe"/>
        <s v="SENKO"/>
        <s v="TASETCO"/>
      </sharedItems>
    </cacheField>
    <cacheField name="[TRANSPORTATION_COST___RAW_DATA___FACTORY].[Month].[Month]" caption="Month" numFmtId="0" hierarchy="16" level="1">
      <sharedItems containsSemiMixedTypes="0" containsString="0" containsNumber="1" containsInteger="1" minValue="4" maxValue="8" count="5">
        <n v="4"/>
        <n v="5"/>
        <n v="6"/>
        <n v="7"/>
        <n v="8"/>
      </sharedItems>
      <extLst>
        <ext xmlns:x15="http://schemas.microsoft.com/office/spreadsheetml/2010/11/main" uri="{4F2E5C28-24EA-4eb8-9CBF-B6C8F9C3D259}">
          <x15:cachedUniqueNames>
            <x15:cachedUniqueName index="0" name="[TRANSPORTATION_COST___RAW_DATA___FACTORY].[Month].&amp;[4]"/>
            <x15:cachedUniqueName index="1" name="[TRANSPORTATION_COST___RAW_DATA___FACTORY].[Month].&amp;[5]"/>
            <x15:cachedUniqueName index="2" name="[TRANSPORTATION_COST___RAW_DATA___FACTORY].[Month].&amp;[6]"/>
            <x15:cachedUniqueName index="3" name="[TRANSPORTATION_COST___RAW_DATA___FACTORY].[Month].&amp;[7]"/>
            <x15:cachedUniqueName index="4" name="[TRANSPORTATION_COST___RAW_DATA___FACTORY].[Month].&amp;[8]"/>
          </x15:cachedUniqueNames>
        </ext>
      </extLst>
    </cacheField>
    <cacheField name="[Measures].[Sum of CBM]" caption="Sum of CBM" numFmtId="0" hierarchy="41" level="32767"/>
    <cacheField name="[TRANSPORTATION_COST___RAW_DATA___FACTORY].[SCOPE].[SCOPE]" caption="SCOPE" numFmtId="0" hierarchy="17" level="1">
      <sharedItems containsSemiMixedTypes="0" containsNonDate="0" containsString="0"/>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2" memberValueDatatype="130" unbalanced="0">
      <fieldsUsage count="2">
        <fieldUsage x="-1"/>
        <fieldUsage x="0"/>
      </fieldsUsage>
    </cacheHierarchy>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2" memberValueDatatype="20" unbalanced="0">
      <fieldsUsage count="2">
        <fieldUsage x="-1"/>
        <fieldUsage x="2"/>
      </fieldsUsage>
    </cacheHierarchy>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2" memberValueDatatype="130" unbalanced="0">
      <fieldsUsage count="2">
        <fieldUsage x="-1"/>
        <fieldUsage x="4"/>
      </fieldsUsage>
    </cacheHierarchy>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2" memberValueDatatype="130" unbalanced="0">
      <fieldsUsage count="2">
        <fieldUsage x="-1"/>
        <fieldUsage x="1"/>
      </fieldsUsage>
    </cacheHierarchy>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oneField="1" hidden="1">
      <fieldsUsage count="1">
        <fieldUsage x="3"/>
      </fieldsUsage>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88773146" backgroundQuery="1" createdVersion="8" refreshedVersion="8" minRefreshableVersion="3" recordCount="0" supportSubquery="1" supportAdvancedDrill="1" xr:uid="{27D3EA7E-E507-4412-9920-9A665D9115FF}">
  <cacheSource type="external" connectionId="10"/>
  <cacheFields count="5">
    <cacheField name="[TRANSPORTATION_COST___RAW_DATA___FACTORY].[Branch].[Branch]" caption="Branch" numFmtId="0" hierarchy="15" level="1">
      <sharedItems count="7">
        <s v="CT"/>
        <s v="DN"/>
        <s v="HCM"/>
        <s v="HN"/>
        <s v="HP"/>
        <s v="NA"/>
        <s v="TOTAL"/>
      </sharedItems>
    </cacheField>
    <cacheField name="[TRANSPORTATION_COST___RAW_DATA___FACTORY].[VENDOR].[VENDOR]" caption="VENDOR" numFmtId="0" hierarchy="18" level="1">
      <sharedItems count="6">
        <s v="BUU CHINH"/>
        <s v="DRAGON"/>
        <s v="HAI AN"/>
        <s v="HP điều xe"/>
        <s v="SENKO"/>
        <s v="TASETCO"/>
      </sharedItems>
    </cacheField>
    <cacheField name="[Measures].[Sum of Amount]" caption="Sum of Amount" numFmtId="0" hierarchy="39" level="32767"/>
    <cacheField name="[TRANSPORTATION_COST___RAW_DATA___FACTORY].[Month].[Month]" caption="Month" numFmtId="0" hierarchy="16" level="1">
      <sharedItems containsSemiMixedTypes="0" containsString="0" containsNumber="1" containsInteger="1" minValue="4" maxValue="8" count="5">
        <n v="4"/>
        <n v="5"/>
        <n v="6"/>
        <n v="7"/>
        <n v="8"/>
      </sharedItems>
      <extLst>
        <ext xmlns:x15="http://schemas.microsoft.com/office/spreadsheetml/2010/11/main" uri="{4F2E5C28-24EA-4eb8-9CBF-B6C8F9C3D259}">
          <x15:cachedUniqueNames>
            <x15:cachedUniqueName index="0" name="[TRANSPORTATION_COST___RAW_DATA___FACTORY].[Month].&amp;[4]"/>
            <x15:cachedUniqueName index="1" name="[TRANSPORTATION_COST___RAW_DATA___FACTORY].[Month].&amp;[5]"/>
            <x15:cachedUniqueName index="2" name="[TRANSPORTATION_COST___RAW_DATA___FACTORY].[Month].&amp;[6]"/>
            <x15:cachedUniqueName index="3" name="[TRANSPORTATION_COST___RAW_DATA___FACTORY].[Month].&amp;[7]"/>
            <x15:cachedUniqueName index="4" name="[TRANSPORTATION_COST___RAW_DATA___FACTORY].[Month].&amp;[8]"/>
          </x15:cachedUniqueNames>
        </ext>
      </extLst>
    </cacheField>
    <cacheField name="[TRANSPORTATION_COST___RAW_DATA___FACTORY].[SCOPE].[SCOPE]" caption="SCOPE" numFmtId="0" hierarchy="17" level="1">
      <sharedItems containsSemiMixedTypes="0" containsNonDate="0" containsString="0"/>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2" memberValueDatatype="130" unbalanced="0">
      <fieldsUsage count="2">
        <fieldUsage x="-1"/>
        <fieldUsage x="0"/>
      </fieldsUsage>
    </cacheHierarchy>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2" memberValueDatatype="20" unbalanced="0">
      <fieldsUsage count="2">
        <fieldUsage x="-1"/>
        <fieldUsage x="3"/>
      </fieldsUsage>
    </cacheHierarchy>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2" memberValueDatatype="130" unbalanced="0">
      <fieldsUsage count="2">
        <fieldUsage x="-1"/>
        <fieldUsage x="4"/>
      </fieldsUsage>
    </cacheHierarchy>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2" memberValueDatatype="130" unbalanced="0">
      <fieldsUsage count="2">
        <fieldUsage x="-1"/>
        <fieldUsage x="1"/>
      </fieldsUsage>
    </cacheHierarchy>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91203701" backgroundQuery="1" createdVersion="8" refreshedVersion="8" minRefreshableVersion="3" recordCount="0" supportSubquery="1" supportAdvancedDrill="1" xr:uid="{D95CDAC5-1F78-4ABD-9BF1-999430144BE9}">
  <cacheSource type="external" connectionId="10"/>
  <cacheFields count="5">
    <cacheField name="[TRANSPORTATION_COST___RAW_DATA___FACTORY].[Branch].[Branch]" caption="Branch" numFmtId="0" hierarchy="15" level="1">
      <sharedItems count="7">
        <s v="CT"/>
        <s v="DN"/>
        <s v="HCM"/>
        <s v="HN"/>
        <s v="HP"/>
        <s v="NA"/>
        <s v="TOTAL"/>
      </sharedItems>
    </cacheField>
    <cacheField name="[TRANSPORTATION_COST___RAW_DATA___FACTORY].[VENDOR].[VENDOR]" caption="VENDOR" numFmtId="0" hierarchy="18" level="1">
      <sharedItems count="6">
        <s v="BUU CHINH"/>
        <s v="DRAGON"/>
        <s v="HAI AN"/>
        <s v="HP điều xe"/>
        <s v="SENKO"/>
        <s v="TASETCO"/>
      </sharedItems>
    </cacheField>
    <cacheField name="[TRANSPORTATION_COST___RAW_DATA___FACTORY].[Month].[Month]" caption="Month" numFmtId="0" hierarchy="16" level="1">
      <sharedItems containsSemiMixedTypes="0" containsString="0" containsNumber="1" containsInteger="1" minValue="4" maxValue="8" count="5">
        <n v="4"/>
        <n v="5"/>
        <n v="6"/>
        <n v="7"/>
        <n v="8"/>
      </sharedItems>
      <extLst>
        <ext xmlns:x15="http://schemas.microsoft.com/office/spreadsheetml/2010/11/main" uri="{4F2E5C28-24EA-4eb8-9CBF-B6C8F9C3D259}">
          <x15:cachedUniqueNames>
            <x15:cachedUniqueName index="0" name="[TRANSPORTATION_COST___RAW_DATA___FACTORY].[Month].&amp;[4]"/>
            <x15:cachedUniqueName index="1" name="[TRANSPORTATION_COST___RAW_DATA___FACTORY].[Month].&amp;[5]"/>
            <x15:cachedUniqueName index="2" name="[TRANSPORTATION_COST___RAW_DATA___FACTORY].[Month].&amp;[6]"/>
            <x15:cachedUniqueName index="3" name="[TRANSPORTATION_COST___RAW_DATA___FACTORY].[Month].&amp;[7]"/>
            <x15:cachedUniqueName index="4" name="[TRANSPORTATION_COST___RAW_DATA___FACTORY].[Month].&amp;[8]"/>
          </x15:cachedUniqueNames>
        </ext>
      </extLst>
    </cacheField>
    <cacheField name="[Measures].[Sum of Qty]" caption="Sum of Qty" numFmtId="0" hierarchy="40" level="32767"/>
    <cacheField name="[TRANSPORTATION_COST___RAW_DATA___FACTORY].[SCOPE].[SCOPE]" caption="SCOPE" numFmtId="0" hierarchy="17" level="1">
      <sharedItems containsSemiMixedTypes="0" containsNonDate="0" containsString="0"/>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2" memberValueDatatype="130" unbalanced="0">
      <fieldsUsage count="2">
        <fieldUsage x="-1"/>
        <fieldUsage x="0"/>
      </fieldsUsage>
    </cacheHierarchy>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2" memberValueDatatype="20" unbalanced="0">
      <fieldsUsage count="2">
        <fieldUsage x="-1"/>
        <fieldUsage x="2"/>
      </fieldsUsage>
    </cacheHierarchy>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2" memberValueDatatype="130" unbalanced="0">
      <fieldsUsage count="2">
        <fieldUsage x="-1"/>
        <fieldUsage x="4"/>
      </fieldsUsage>
    </cacheHierarchy>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2" memberValueDatatype="130" unbalanced="0">
      <fieldsUsage count="2">
        <fieldUsage x="-1"/>
        <fieldUsage x="1"/>
      </fieldsUsage>
    </cacheHierarchy>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oneField="1" hidden="1">
      <fieldsUsage count="1">
        <fieldUsage x="3"/>
      </fieldsUsage>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93865741" backgroundQuery="1" createdVersion="8" refreshedVersion="8" minRefreshableVersion="3" recordCount="0" supportSubquery="1" supportAdvancedDrill="1" xr:uid="{5FB303B4-F6C4-405A-A5FC-D1AE57AFF626}">
  <cacheSource type="external" connectionId="10"/>
  <cacheFields count="5">
    <cacheField name="[TRANSPORTATION_COST___RAW_DATA___FACTORY].[Branch].[Branch]" caption="Branch" numFmtId="0" hierarchy="15" level="1">
      <sharedItems count="7">
        <s v="CT"/>
        <s v="DN"/>
        <s v="HCM"/>
        <s v="HN"/>
        <s v="HP"/>
        <s v="NA"/>
        <s v="TOTAL"/>
      </sharedItems>
    </cacheField>
    <cacheField name="[TRANSPORTATION_COST___RAW_DATA___FACTORY].[VENDOR].[VENDOR]" caption="VENDOR" numFmtId="0" hierarchy="18" level="1">
      <sharedItems count="6">
        <s v="BUU CHINH"/>
        <s v="DRAGON"/>
        <s v="HAI AN"/>
        <s v="HP điều xe"/>
        <s v="SENKO"/>
        <s v="TASETCO"/>
      </sharedItems>
    </cacheField>
    <cacheField name="[Measures].[AMOUNT USING ( MIL )]" caption="AMOUNT USING ( MIL )" numFmtId="0" hierarchy="25" level="32767"/>
    <cacheField name="[TRANSPORTATION_COST___RAW_DATA___FACTORY].[Month].[Month]" caption="Month" numFmtId="0" hierarchy="16" level="1">
      <sharedItems containsSemiMixedTypes="0" containsNonDate="0" containsString="0"/>
    </cacheField>
    <cacheField name="[TRANSPORTATION_COST___RAW_DATA___FACTORY].[SCOPE].[SCOPE]" caption="SCOPE" numFmtId="0" hierarchy="17" level="1">
      <sharedItems containsSemiMixedTypes="0" containsNonDate="0" containsString="0"/>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2" memberValueDatatype="130" unbalanced="0">
      <fieldsUsage count="2">
        <fieldUsage x="-1"/>
        <fieldUsage x="0"/>
      </fieldsUsage>
    </cacheHierarchy>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2" memberValueDatatype="20" unbalanced="0">
      <fieldsUsage count="2">
        <fieldUsage x="-1"/>
        <fieldUsage x="3"/>
      </fieldsUsage>
    </cacheHierarchy>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2" memberValueDatatype="130" unbalanced="0">
      <fieldsUsage count="2">
        <fieldUsage x="-1"/>
        <fieldUsage x="4"/>
      </fieldsUsage>
    </cacheHierarchy>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2" memberValueDatatype="130" unbalanced="0">
      <fieldsUsage count="2">
        <fieldUsage x="-1"/>
        <fieldUsage x="1"/>
      </fieldsUsage>
    </cacheHierarchy>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oneField="1">
      <fieldsUsage count="1">
        <fieldUsage x="2"/>
      </fieldsUsage>
    </cacheHierarchy>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95486112" backgroundQuery="1" createdVersion="8" refreshedVersion="8" minRefreshableVersion="3" recordCount="0" supportSubquery="1" supportAdvancedDrill="1" xr:uid="{DEE1615B-1473-4FA1-807C-6E17A99DDE6E}">
  <cacheSource type="external" connectionId="10"/>
  <cacheFields count="3">
    <cacheField name="[Measures].[Sum of Amount]" caption="Sum of Amount" numFmtId="0" hierarchy="39" level="32767"/>
    <cacheField name="[TRANSPORTATION_COST___RAW_DATA___FACTORY].[Branch].[Branch]" caption="Branch" numFmtId="0" hierarchy="15" level="1">
      <sharedItems count="7">
        <s v="CT"/>
        <s v="DN"/>
        <s v="HCM"/>
        <s v="HN"/>
        <s v="HP"/>
        <s v="NA"/>
        <s v="TOTAL"/>
      </sharedItems>
    </cacheField>
    <cacheField name="[TRANSPORTATION_COST___RAW_DATA___FACTORY].[Month].[Month]" caption="Month" numFmtId="0" hierarchy="16" level="1">
      <sharedItems containsSemiMixedTypes="0" containsString="0" containsNumber="1" containsInteger="1" minValue="4" maxValue="8" count="5">
        <n v="4"/>
        <n v="5"/>
        <n v="6"/>
        <n v="7"/>
        <n v="8"/>
      </sharedItems>
      <extLst>
        <ext xmlns:x15="http://schemas.microsoft.com/office/spreadsheetml/2010/11/main" uri="{4F2E5C28-24EA-4eb8-9CBF-B6C8F9C3D259}">
          <x15:cachedUniqueNames>
            <x15:cachedUniqueName index="0" name="[TRANSPORTATION_COST___RAW_DATA___FACTORY].[Month].&amp;[4]"/>
            <x15:cachedUniqueName index="1" name="[TRANSPORTATION_COST___RAW_DATA___FACTORY].[Month].&amp;[5]"/>
            <x15:cachedUniqueName index="2" name="[TRANSPORTATION_COST___RAW_DATA___FACTORY].[Month].&amp;[6]"/>
            <x15:cachedUniqueName index="3" name="[TRANSPORTATION_COST___RAW_DATA___FACTORY].[Month].&amp;[7]"/>
            <x15:cachedUniqueName index="4" name="[TRANSPORTATION_COST___RAW_DATA___FACTORY].[Month].&amp;[8]"/>
          </x15:cachedUniqueNames>
        </ext>
      </extLst>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2" memberValueDatatype="130" unbalanced="0">
      <fieldsUsage count="2">
        <fieldUsage x="-1"/>
        <fieldUsage x="1"/>
      </fieldsUsage>
    </cacheHierarchy>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2" memberValueDatatype="20" unbalanced="0">
      <fieldsUsage count="2">
        <fieldUsage x="-1"/>
        <fieldUsage x="2"/>
      </fieldsUsage>
    </cacheHierarchy>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97685182" backgroundQuery="1" createdVersion="8" refreshedVersion="8" minRefreshableVersion="3" recordCount="0" supportSubquery="1" supportAdvancedDrill="1" xr:uid="{4987B8CD-129B-4293-95F1-FE949F2B0F31}">
  <cacheSource type="external" connectionId="10"/>
  <cacheFields count="5">
    <cacheField name="[Measures].[Sum of Amount]" caption="Sum of Amount" numFmtId="0" hierarchy="39" level="32767"/>
    <cacheField name="[TRANSPORTATION_COST___RAW_DATA___FACTORY].[Branch].[Branch]" caption="Branch" numFmtId="0" hierarchy="15" level="1">
      <sharedItems count="7">
        <s v="TOTAL"/>
        <s v="CT" u="1"/>
        <s v="DN" u="1"/>
        <s v="HCM" u="1"/>
        <s v="HN" u="1"/>
        <s v="HP" u="1"/>
        <s v="NA" u="1"/>
      </sharedItems>
    </cacheField>
    <cacheField name="[TRANSPORTATION_COST___RAW_DATA___FACTORY].[Month].[Month]" caption="Month" numFmtId="0" hierarchy="16" level="1">
      <sharedItems containsSemiMixedTypes="0" containsString="0" containsNumber="1" containsInteger="1" minValue="4" maxValue="8" count="5">
        <n v="4"/>
        <n v="5"/>
        <n v="6"/>
        <n v="7"/>
        <n v="8"/>
      </sharedItems>
      <extLst>
        <ext xmlns:x15="http://schemas.microsoft.com/office/spreadsheetml/2010/11/main" uri="{4F2E5C28-24EA-4eb8-9CBF-B6C8F9C3D259}">
          <x15:cachedUniqueNames>
            <x15:cachedUniqueName index="0" name="[TRANSPORTATION_COST___RAW_DATA___FACTORY].[Month].&amp;[4]"/>
            <x15:cachedUniqueName index="1" name="[TRANSPORTATION_COST___RAW_DATA___FACTORY].[Month].&amp;[5]"/>
            <x15:cachedUniqueName index="2" name="[TRANSPORTATION_COST___RAW_DATA___FACTORY].[Month].&amp;[6]"/>
            <x15:cachedUniqueName index="3" name="[TRANSPORTATION_COST___RAW_DATA___FACTORY].[Month].&amp;[7]"/>
            <x15:cachedUniqueName index="4" name="[TRANSPORTATION_COST___RAW_DATA___FACTORY].[Month].&amp;[8]"/>
          </x15:cachedUniqueNames>
        </ext>
      </extLst>
    </cacheField>
    <cacheField name="[TRANSPORTATION_COST___RAW_DATA___FACTORY].[SCOPE].[SCOPE]" caption="SCOPE" numFmtId="0" hierarchy="17" level="1">
      <sharedItems containsSemiMixedTypes="0" containsNonDate="0" containsString="0"/>
    </cacheField>
    <cacheField name="[TRANSPORTATION_COST___RAW_DATA___FACTORY].[VENDOR].[VENDOR]" caption="VENDOR" numFmtId="0" hierarchy="18" level="1">
      <sharedItems containsSemiMixedTypes="0" containsNonDate="0" containsString="0"/>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2" memberValueDatatype="130" unbalanced="0">
      <fieldsUsage count="2">
        <fieldUsage x="-1"/>
        <fieldUsage x="1"/>
      </fieldsUsage>
    </cacheHierarchy>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2" memberValueDatatype="20" unbalanced="0">
      <fieldsUsage count="2">
        <fieldUsage x="-1"/>
        <fieldUsage x="2"/>
      </fieldsUsage>
    </cacheHierarchy>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2" memberValueDatatype="130" unbalanced="0">
      <fieldsUsage count="2">
        <fieldUsage x="-1"/>
        <fieldUsage x="3"/>
      </fieldsUsage>
    </cacheHierarchy>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2" memberValueDatatype="130" unbalanced="0">
      <fieldsUsage count="2">
        <fieldUsage x="-1"/>
        <fieldUsage x="4"/>
      </fieldsUsage>
    </cacheHierarchy>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guyen Minh Tien" refreshedDate="45190.361375462962" createdVersion="8" refreshedVersion="8" minRefreshableVersion="3" recordCount="93" xr:uid="{22ACE30D-EB95-4747-8C5F-D42B8BA97B54}">
  <cacheSource type="worksheet">
    <worksheetSource name="Table_Raw_Data__ngắn"/>
  </cacheSource>
  <cacheFields count="5">
    <cacheField name="Tháng" numFmtId="0">
      <sharedItems containsSemiMixedTypes="0" containsString="0" containsNumber="1" containsInteger="1" minValue="4" maxValue="8" count="5">
        <n v="4"/>
        <n v="5"/>
        <n v="7"/>
        <n v="8"/>
        <n v="6"/>
      </sharedItems>
    </cacheField>
    <cacheField name="Chi nhánh" numFmtId="0">
      <sharedItems count="7">
        <s v="DN"/>
        <s v="HP"/>
        <s v="NA"/>
        <s v="KH"/>
        <s v="CT"/>
        <s v="HN"/>
        <s v="HCM"/>
      </sharedItems>
    </cacheField>
    <cacheField name="Nhà vận tải" numFmtId="0">
      <sharedItems/>
    </cacheField>
    <cacheField name="Chi Phí - ngắn" numFmtId="0">
      <sharedItems containsSemiMixedTypes="0" containsString="0" containsNumber="1" minValue="4255000" maxValue="782294463.1207881"/>
    </cacheField>
    <cacheField name="KPI- ngắn" numFmtId="0">
      <sharedItems containsSemiMixedTypes="0" containsString="0" containsNumber="1" minValue="0.85899999999999999" maxValue="0.97699999999999998"/>
    </cacheField>
  </cacheFields>
  <extLst>
    <ext xmlns:x14="http://schemas.microsoft.com/office/spreadsheetml/2009/9/main" uri="{725AE2AE-9491-48be-B2B4-4EB974FC3084}">
      <x14:pivotCacheDefinition pivotCacheId="1471960889"/>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62774189816" backgroundQuery="1" createdVersion="8" refreshedVersion="8" minRefreshableVersion="3" recordCount="0" supportSubquery="1" supportAdvancedDrill="1" xr:uid="{BAB72E30-FFE9-4E21-B632-2F097C73019B}">
  <cacheSource type="external" connectionId="10"/>
  <cacheFields count="3">
    <cacheField name="[Measures].[Sum of Chi Phí- Dài]" caption="Sum of Chi Phí- Dài" numFmtId="0" hierarchy="33" level="32767"/>
    <cacheField name="[Table_Raw_Data___dài].[Chi nhánh].[Chi nhánh]" caption="Chi nhánh" numFmtId="0" hierarchy="1" level="1">
      <sharedItems count="3">
        <s v="DN"/>
        <s v="HCM"/>
        <s v="HN"/>
      </sharedItems>
    </cacheField>
    <cacheField name="[Table_Raw_Data___dài].[Tháng].[Tháng]" caption="Tháng" numFmtId="0" level="1">
      <sharedItems containsSemiMixedTypes="0" containsString="0" containsNumber="1" containsInteger="1" minValue="4" maxValue="8" count="5">
        <n v="4"/>
        <n v="5"/>
        <n v="6"/>
        <n v="7"/>
        <n v="8"/>
      </sharedItems>
      <extLst>
        <ext xmlns:x15="http://schemas.microsoft.com/office/spreadsheetml/2010/11/main" uri="{4F2E5C28-24EA-4eb8-9CBF-B6C8F9C3D259}">
          <x15:cachedUniqueNames>
            <x15:cachedUniqueName index="0" name="[Table_Raw_Data___dài].[Tháng].&amp;[4]"/>
            <x15:cachedUniqueName index="1" name="[Table_Raw_Data___dài].[Tháng].&amp;[5]"/>
            <x15:cachedUniqueName index="2" name="[Table_Raw_Data___dài].[Tháng].&amp;[6]"/>
            <x15:cachedUniqueName index="3" name="[Table_Raw_Data___dài].[Tháng].&amp;[7]"/>
            <x15:cachedUniqueName index="4" name="[Table_Raw_Data___dài].[Tháng].&amp;[8]"/>
          </x15:cachedUniqueNames>
        </ext>
      </extLst>
    </cacheField>
  </cacheFields>
  <cacheHierarchies count="42">
    <cacheHierarchy uniqueName="[Table_Raw_Data___dài].[Tháng]" caption="Tháng" attribute="1" defaultMemberUniqueName="[Table_Raw_Data___dài].[Tháng].[All]" allUniqueName="[Table_Raw_Data___dài].[Tháng].[All]" dimensionUniqueName="[Table_Raw_Data___dài]" displayFolder="" count="2" memberValueDatatype="20" unbalanced="0">
      <fieldsUsage count="2">
        <fieldUsage x="-1"/>
        <fieldUsage x="2"/>
      </fieldsUsage>
    </cacheHierarchy>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fieldsUsage count="2">
        <fieldUsage x="-1"/>
        <fieldUsage x="1"/>
      </fieldsUsage>
    </cacheHierarchy>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63230787036" backgroundQuery="1" createdVersion="8" refreshedVersion="8" minRefreshableVersion="3" recordCount="0" supportSubquery="1" supportAdvancedDrill="1" xr:uid="{21A661C2-3A22-4367-83FF-76DEEE7B73F1}">
  <cacheSource type="external" connectionId="10"/>
  <cacheFields count="3">
    <cacheField name="[Table_Raw_Data___LTL].[Tháng].[Tháng]" caption="Tháng" numFmtId="0" hierarchy="5" level="1">
      <sharedItems containsSemiMixedTypes="0" containsString="0" containsNumber="1" containsInteger="1" minValue="4" maxValue="8" count="5">
        <n v="4"/>
        <n v="5"/>
        <n v="6"/>
        <n v="7"/>
        <n v="8"/>
      </sharedItems>
      <extLst>
        <ext xmlns:x15="http://schemas.microsoft.com/office/spreadsheetml/2010/11/main" uri="{4F2E5C28-24EA-4eb8-9CBF-B6C8F9C3D259}">
          <x15:cachedUniqueNames>
            <x15:cachedUniqueName index="0" name="[Table_Raw_Data___LTL].[Tháng].&amp;[4]"/>
            <x15:cachedUniqueName index="1" name="[Table_Raw_Data___LTL].[Tháng].&amp;[5]"/>
            <x15:cachedUniqueName index="2" name="[Table_Raw_Data___LTL].[Tháng].&amp;[6]"/>
            <x15:cachedUniqueName index="3" name="[Table_Raw_Data___LTL].[Tháng].&amp;[7]"/>
            <x15:cachedUniqueName index="4" name="[Table_Raw_Data___LTL].[Tháng].&amp;[8]"/>
          </x15:cachedUniqueNames>
        </ext>
      </extLst>
    </cacheField>
    <cacheField name="[Table_Raw_Data___LTL].[Chi nhánh].[Chi nhánh]" caption="Chi nhánh" numFmtId="0" hierarchy="6" level="1">
      <sharedItems count="8">
        <s v="CT"/>
        <s v="DN"/>
        <s v="HCM"/>
        <s v="HN"/>
        <s v="HP"/>
        <s v="KH"/>
        <s v="NA"/>
        <s v="PC"/>
      </sharedItems>
    </cacheField>
    <cacheField name="[Measures].[Sum of Chi Phí - LTL]" caption="Sum of Chi Phí - LTL" numFmtId="0" hierarchy="36" level="32767"/>
  </cacheFields>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fieldsUsage count="2">
        <fieldUsage x="-1"/>
        <fieldUsage x="0"/>
      </fieldsUsage>
    </cacheHierarchy>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fieldsUsage count="2">
        <fieldUsage x="-1"/>
        <fieldUsage x="1"/>
      </fieldsUsage>
    </cacheHierarchy>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dimensions count="5">
    <dimension measure="1" name="Measures" uniqueName="[Measures]" caption="Measures"/>
    <dimension name="Table_Raw_Data___dài" uniqueName="[Table_Raw_Data___dài]" caption="Table_Raw_Data___dài"/>
    <dimension name="Table_Raw_Data___LTL" uniqueName="[Table_Raw_Data___LTL]" caption="Table_Raw_Data___LTL"/>
    <dimension name="Table_Raw_Data__ngắn" uniqueName="[Table_Raw_Data__ngắn]" caption="Table_Raw_Data__ngắn"/>
    <dimension name="TRANSPORTATION_COST___RAW_DATA___FACTORY" uniqueName="[TRANSPORTATION_COST___RAW_DATA___FACTORY]" caption="TRANSPORTATION_COST___RAW_DATA___FACTORY"/>
  </dimensions>
  <measureGroups count="4">
    <measureGroup name="Table_Raw_Data___dài" caption="Table_Raw_Data___dài"/>
    <measureGroup name="Table_Raw_Data___LTL" caption="Table_Raw_Data___LTL"/>
    <measureGroup name="Table_Raw_Data__ngắn" caption="Table_Raw_Data__ngắn"/>
    <measureGroup name="TRANSPORTATION_COST___RAW_DATA___FACTORY" caption="TRANSPORTATION_COST___RAW_DATA___FACTORY"/>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41203706" backgroundQuery="1" createdVersion="3" refreshedVersion="8" minRefreshableVersion="3" recordCount="0" supportSubquery="1" supportAdvancedDrill="1" xr:uid="{D710C87D-D75B-4813-96D0-B5D3C93C5495}">
  <cacheSource type="external" connectionId="10">
    <extLst>
      <ext xmlns:x14="http://schemas.microsoft.com/office/spreadsheetml/2009/9/main" uri="{F057638F-6D5F-4e77-A914-E7F072B9BCA8}">
        <x14:sourceConnection name="ThisWorkbookDataModel"/>
      </ext>
    </extLst>
  </cacheSource>
  <cacheFields count="0"/>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2"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2"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554865766"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5196759" backgroundQuery="1" createdVersion="3" refreshedVersion="8" minRefreshableVersion="3" recordCount="0" supportSubquery="1" supportAdvancedDrill="1" xr:uid="{CEED7F51-3D0A-4535-9EDA-913041191EF7}">
  <cacheSource type="external" connectionId="10">
    <extLst>
      <ext xmlns:x14="http://schemas.microsoft.com/office/spreadsheetml/2009/9/main" uri="{F057638F-6D5F-4e77-A914-E7F072B9BCA8}">
        <x14:sourceConnection name="ThisWorkbookDataModel"/>
      </ext>
    </extLst>
  </cacheSource>
  <cacheFields count="0"/>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825046260"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57407409" backgroundQuery="1" createdVersion="3" refreshedVersion="8" minRefreshableVersion="3" recordCount="0" supportSubquery="1" supportAdvancedDrill="1" xr:uid="{DC943267-5645-4EDA-A87F-D7EEA4ACCD1A}">
  <cacheSource type="external" connectionId="10">
    <extLst>
      <ext xmlns:x14="http://schemas.microsoft.com/office/spreadsheetml/2009/9/main" uri="{F057638F-6D5F-4e77-A914-E7F072B9BCA8}">
        <x14:sourceConnection name="ThisWorkbookDataModel"/>
      </ext>
    </extLst>
  </cacheSource>
  <cacheFields count="0"/>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2"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2"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1201393982"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67476854" backgroundQuery="1" createdVersion="3" refreshedVersion="8" minRefreshableVersion="3" recordCount="0" supportSubquery="1" supportAdvancedDrill="1" xr:uid="{AF43C47C-FC02-4282-88F6-6CF4DDFD2412}">
  <cacheSource type="external" connectionId="10">
    <extLst>
      <ext xmlns:x14="http://schemas.microsoft.com/office/spreadsheetml/2009/9/main" uri="{F057638F-6D5F-4e77-A914-E7F072B9BCA8}">
        <x14:sourceConnection name="ThisWorkbookDataModel"/>
      </ext>
    </extLst>
  </cacheSource>
  <cacheFields count="0"/>
  <cacheHierarchies count="42">
    <cacheHierarchy uniqueName="[Table_Raw_Data___dài].[Tháng]" caption="Tháng" attribute="1" defaultMemberUniqueName="[Table_Raw_Data___dài].[Tháng].[All]" allUniqueName="[Table_Raw_Data___dài].[Tháng].[All]" dimensionUniqueName="[Table_Raw_Data___dài]" displayFolder="" count="2"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439841281"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7314815" backgroundQuery="1" createdVersion="3" refreshedVersion="8" minRefreshableVersion="3" recordCount="0" supportSubquery="1" supportAdvancedDrill="1" xr:uid="{B6AF73CF-E0D8-4008-B6EC-F12F494BE741}">
  <cacheSource type="external" connectionId="10">
    <extLst>
      <ext xmlns:x14="http://schemas.microsoft.com/office/spreadsheetml/2009/9/main" uri="{F057638F-6D5F-4e77-A914-E7F072B9BCA8}">
        <x14:sourceConnection name="ThisWorkbookDataModel"/>
      </ext>
    </extLst>
  </cacheSource>
  <cacheFields count="0"/>
  <cacheHierarchies count="42">
    <cacheHierarchy uniqueName="[Table_Raw_Data___dài].[Tháng]" caption="Tháng" attribute="1" defaultMemberUniqueName="[Table_Raw_Data___dài].[Tháng].[All]" allUniqueName="[Table_Raw_Data___dài].[Tháng].[All]" dimensionUniqueName="[Table_Raw_Data___dài]" displayFolder="" count="2"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2"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0"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0"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0"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0"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797223445"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guyen Minh Tien" refreshedDate="45190.358883680557" backgroundQuery="1" createdVersion="3" refreshedVersion="8" minRefreshableVersion="3" recordCount="0" supportSubquery="1" supportAdvancedDrill="1" xr:uid="{6C42E61E-DC7C-4280-B597-243351F0C515}">
  <cacheSource type="external" connectionId="10">
    <extLst>
      <ext xmlns:x14="http://schemas.microsoft.com/office/spreadsheetml/2009/9/main" uri="{F057638F-6D5F-4e77-A914-E7F072B9BCA8}">
        <x14:sourceConnection name="ThisWorkbookDataModel"/>
      </ext>
    </extLst>
  </cacheSource>
  <cacheFields count="0"/>
  <cacheHierarchies count="42">
    <cacheHierarchy uniqueName="[Table_Raw_Data___dài].[Tháng]" caption="Tháng" attribute="1" defaultMemberUniqueName="[Table_Raw_Data___dài].[Tháng].[All]" allUniqueName="[Table_Raw_Data___dài].[Tháng].[All]" dimensionUniqueName="[Table_Raw_Data___dài]" displayFolder="" count="0" memberValueDatatype="20" unbalanced="0"/>
    <cacheHierarchy uniqueName="[Table_Raw_Data___dài].[Chi nhánh]" caption="Chi nhánh" attribute="1" defaultMemberUniqueName="[Table_Raw_Data___dài].[Chi nhánh].[All]" allUniqueName="[Table_Raw_Data___dài].[Chi nhánh].[All]" dimensionUniqueName="[Table_Raw_Data___dài]" displayFolder="" count="0" memberValueDatatype="130" unbalanced="0"/>
    <cacheHierarchy uniqueName="[Table_Raw_Data___dài].[Nhà vận tải]" caption="Nhà vận tải" attribute="1" defaultMemberUniqueName="[Table_Raw_Data___dài].[Nhà vận tải].[All]" allUniqueName="[Table_Raw_Data___dài].[Nhà vận tải].[All]" dimensionUniqueName="[Table_Raw_Data___dài]" displayFolder="" count="0" memberValueDatatype="130" unbalanced="0"/>
    <cacheHierarchy uniqueName="[Table_Raw_Data___dài].[Chi Phí- Dài]" caption="Chi Phí- Dài" attribute="1" defaultMemberUniqueName="[Table_Raw_Data___dài].[Chi Phí- Dài].[All]" allUniqueName="[Table_Raw_Data___dài].[Chi Phí- Dài].[All]" dimensionUniqueName="[Table_Raw_Data___dài]" displayFolder="" count="0" memberValueDatatype="5" unbalanced="0"/>
    <cacheHierarchy uniqueName="[Table_Raw_Data___dài].[KPI-dài]" caption="KPI-dài" attribute="1" defaultMemberUniqueName="[Table_Raw_Data___dài].[KPI-dài].[All]" allUniqueName="[Table_Raw_Data___dài].[KPI-dài].[All]" dimensionUniqueName="[Table_Raw_Data___dài]" displayFolder="" count="0" memberValueDatatype="5" unbalanced="0"/>
    <cacheHierarchy uniqueName="[Table_Raw_Data___LTL].[Tháng]" caption="Tháng" attribute="1" defaultMemberUniqueName="[Table_Raw_Data___LTL].[Tháng].[All]" allUniqueName="[Table_Raw_Data___LTL].[Tháng].[All]" dimensionUniqueName="[Table_Raw_Data___LTL]" displayFolder="" count="0" memberValueDatatype="20" unbalanced="0"/>
    <cacheHierarchy uniqueName="[Table_Raw_Data___LTL].[Chi nhánh]" caption="Chi nhánh" attribute="1" defaultMemberUniqueName="[Table_Raw_Data___LTL].[Chi nhánh].[All]" allUniqueName="[Table_Raw_Data___LTL].[Chi nhánh].[All]" dimensionUniqueName="[Table_Raw_Data___LTL]" displayFolder="" count="0" memberValueDatatype="130" unbalanced="0"/>
    <cacheHierarchy uniqueName="[Table_Raw_Data___LTL].[Nhà vận tải]" caption="Nhà vận tải" attribute="1" defaultMemberUniqueName="[Table_Raw_Data___LTL].[Nhà vận tải].[All]" allUniqueName="[Table_Raw_Data___LTL].[Nhà vận tải].[All]" dimensionUniqueName="[Table_Raw_Data___LTL]" displayFolder="" count="0" memberValueDatatype="130" unbalanced="0"/>
    <cacheHierarchy uniqueName="[Table_Raw_Data___LTL].[Chi Phí - LTL]" caption="Chi Phí - LTL" attribute="1" defaultMemberUniqueName="[Table_Raw_Data___LTL].[Chi Phí - LTL].[All]" allUniqueName="[Table_Raw_Data___LTL].[Chi Phí - LTL].[All]" dimensionUniqueName="[Table_Raw_Data___LTL]" displayFolder="" count="0" memberValueDatatype="5" unbalanced="0"/>
    <cacheHierarchy uniqueName="[Table_Raw_Data___LTL].[KPI- LTL]" caption="KPI- LTL" attribute="1" defaultMemberUniqueName="[Table_Raw_Data___LTL].[KPI- LTL].[All]" allUniqueName="[Table_Raw_Data___LTL].[KPI- LTL].[All]" dimensionUniqueName="[Table_Raw_Data___LTL]" displayFolder="" count="0" memberValueDatatype="5" unbalanced="0"/>
    <cacheHierarchy uniqueName="[Table_Raw_Data__ngắn].[Tháng]" caption="Tháng" attribute="1" defaultMemberUniqueName="[Table_Raw_Data__ngắn].[Tháng].[All]" allUniqueName="[Table_Raw_Data__ngắn].[Tháng].[All]" dimensionUniqueName="[Table_Raw_Data__ngắn]" displayFolder="" count="0" memberValueDatatype="20" unbalanced="0"/>
    <cacheHierarchy uniqueName="[Table_Raw_Data__ngắn].[Chi nhánh]" caption="Chi nhánh" attribute="1" defaultMemberUniqueName="[Table_Raw_Data__ngắn].[Chi nhánh].[All]" allUniqueName="[Table_Raw_Data__ngắn].[Chi nhánh].[All]" dimensionUniqueName="[Table_Raw_Data__ngắn]" displayFolder="" count="0" memberValueDatatype="130" unbalanced="0"/>
    <cacheHierarchy uniqueName="[Table_Raw_Data__ngắn].[Nhà vận tải]" caption="Nhà vận tải" attribute="1" defaultMemberUniqueName="[Table_Raw_Data__ngắn].[Nhà vận tải].[All]" allUniqueName="[Table_Raw_Data__ngắn].[Nhà vận tải].[All]" dimensionUniqueName="[Table_Raw_Data__ngắn]" displayFolder="" count="0" memberValueDatatype="130" unbalanced="0"/>
    <cacheHierarchy uniqueName="[Table_Raw_Data__ngắn].[Chi Phí - ngắn]" caption="Chi Phí - ngắn" attribute="1" defaultMemberUniqueName="[Table_Raw_Data__ngắn].[Chi Phí - ngắn].[All]" allUniqueName="[Table_Raw_Data__ngắn].[Chi Phí - ngắn].[All]" dimensionUniqueName="[Table_Raw_Data__ngắn]" displayFolder="" count="0" memberValueDatatype="5" unbalanced="0"/>
    <cacheHierarchy uniqueName="[Table_Raw_Data__ngắn].[KPI- ngắn]" caption="KPI- ngắn" attribute="1" defaultMemberUniqueName="[Table_Raw_Data__ngắn].[KPI- ngắn].[All]" allUniqueName="[Table_Raw_Data__ngắn].[KPI- ngắn].[All]" dimensionUniqueName="[Table_Raw_Data__ngắn]" displayFolder="" count="0" memberValueDatatype="5" unbalanced="0"/>
    <cacheHierarchy uniqueName="[TRANSPORTATION_COST___RAW_DATA___FACTORY].[Branch]" caption="Branch" attribute="1" defaultMemberUniqueName="[TRANSPORTATION_COST___RAW_DATA___FACTORY].[Branch].[All]" allUniqueName="[TRANSPORTATION_COST___RAW_DATA___FACTORY].[Branch].[All]" dimensionUniqueName="[TRANSPORTATION_COST___RAW_DATA___FACTORY]" displayFolder="" count="2" memberValueDatatype="130" unbalanced="0"/>
    <cacheHierarchy uniqueName="[TRANSPORTATION_COST___RAW_DATA___FACTORY].[Month]" caption="Month" attribute="1" defaultMemberUniqueName="[TRANSPORTATION_COST___RAW_DATA___FACTORY].[Month].[All]" allUniqueName="[TRANSPORTATION_COST___RAW_DATA___FACTORY].[Month].[All]" dimensionUniqueName="[TRANSPORTATION_COST___RAW_DATA___FACTORY]" displayFolder="" count="2" memberValueDatatype="20" unbalanced="0"/>
    <cacheHierarchy uniqueName="[TRANSPORTATION_COST___RAW_DATA___FACTORY].[SCOPE]" caption="SCOPE" attribute="1" defaultMemberUniqueName="[TRANSPORTATION_COST___RAW_DATA___FACTORY].[SCOPE].[All]" allUniqueName="[TRANSPORTATION_COST___RAW_DATA___FACTORY].[SCOPE].[All]" dimensionUniqueName="[TRANSPORTATION_COST___RAW_DATA___FACTORY]" displayFolder="" count="2" memberValueDatatype="130" unbalanced="0"/>
    <cacheHierarchy uniqueName="[TRANSPORTATION_COST___RAW_DATA___FACTORY].[VENDOR]" caption="VENDOR" attribute="1" defaultMemberUniqueName="[TRANSPORTATION_COST___RAW_DATA___FACTORY].[VENDOR].[All]" allUniqueName="[TRANSPORTATION_COST___RAW_DATA___FACTORY].[VENDOR].[All]" dimensionUniqueName="[TRANSPORTATION_COST___RAW_DATA___FACTORY]" displayFolder="" count="2" memberValueDatatype="130" unbalanced="0"/>
    <cacheHierarchy uniqueName="[TRANSPORTATION_COST___RAW_DATA___FACTORY].[Qty]" caption="Qty" attribute="1" defaultMemberUniqueName="[TRANSPORTATION_COST___RAW_DATA___FACTORY].[Qty].[All]" allUniqueName="[TRANSPORTATION_COST___RAW_DATA___FACTORY].[Qty].[All]" dimensionUniqueName="[TRANSPORTATION_COST___RAW_DATA___FACTORY]" displayFolder="" count="0" memberValueDatatype="20" unbalanced="0"/>
    <cacheHierarchy uniqueName="[TRANSPORTATION_COST___RAW_DATA___FACTORY].[CBM]" caption="CBM" attribute="1" defaultMemberUniqueName="[TRANSPORTATION_COST___RAW_DATA___FACTORY].[CBM].[All]" allUniqueName="[TRANSPORTATION_COST___RAW_DATA___FACTORY].[CBM].[All]" dimensionUniqueName="[TRANSPORTATION_COST___RAW_DATA___FACTORY]" displayFolder="" count="0" memberValueDatatype="5" unbalanced="0"/>
    <cacheHierarchy uniqueName="[TRANSPORTATION_COST___RAW_DATA___FACTORY].[Amount]" caption="Amount" attribute="1" defaultMemberUniqueName="[TRANSPORTATION_COST___RAW_DATA___FACTORY].[Amount].[All]" allUniqueName="[TRANSPORTATION_COST___RAW_DATA___FACTORY].[Amount].[All]" dimensionUniqueName="[TRANSPORTATION_COST___RAW_DATA___FACTORY]" displayFolder="" count="0" memberValueDatatype="20" unbalanced="0"/>
    <cacheHierarchy uniqueName="[Measures].[Good]" caption="Good" measure="1" displayFolder="" measureGroup="Table_Raw_Data__ngắn" count="0"/>
    <cacheHierarchy uniqueName="[Measures].[Good.]" caption="Good." measure="1" displayFolder="" measureGroup="Table_Raw_Data__ngắn" count="0"/>
    <cacheHierarchy uniqueName="[Measures].[Need to improve]" caption="Need to improve" measure="1" displayFolder="" measureGroup="Table_Raw_Data__ngắn" count="0"/>
    <cacheHierarchy uniqueName="[Measures].[AMOUNT USING ( MIL )]" caption="AMOUNT USING ( MIL )" measure="1" displayFolder="" measureGroup="TRANSPORTATION_COST___RAW_DATA___FACTORY" count="0"/>
    <cacheHierarchy uniqueName="[Measures].[__XL_Count Table_Raw_Data__ngắn]" caption="__XL_Count Table_Raw_Data__ngắn" measure="1" displayFolder="" measureGroup="Table_Raw_Data__ngắn" count="0" hidden="1"/>
    <cacheHierarchy uniqueName="[Measures].[__XL_Count Table_Raw_Data___dài]" caption="__XL_Count Table_Raw_Data___dài" measure="1" displayFolder="" measureGroup="Table_Raw_Data___dài" count="0" hidden="1"/>
    <cacheHierarchy uniqueName="[Measures].[__XL_Count Table_Raw_Data___LTL]" caption="__XL_Count Table_Raw_Data___LTL" measure="1" displayFolder="" measureGroup="Table_Raw_Data___LTL" count="0" hidden="1"/>
    <cacheHierarchy uniqueName="[Measures].[__XL_Count TRANSPORTATION_COST___RAW_DATA___FACTORY]" caption="__XL_Count TRANSPORTATION_COST___RAW_DATA___FACTORY" measure="1" displayFolder="" measureGroup="TRANSPORTATION_COST___RAW_DATA___FACTORY" count="0" hidden="1"/>
    <cacheHierarchy uniqueName="[Measures].[__No measures defined]" caption="__No measures defined" measure="1" displayFolder="" count="0" hidden="1"/>
    <cacheHierarchy uniqueName="[Measures].[Average of KPI- ngắn]" caption="Average of KPI- ngắn" measure="1" displayFolder="" measureGroup="Table_Raw_Data__ngắn" count="0" hidden="1">
      <extLst>
        <ext xmlns:x15="http://schemas.microsoft.com/office/spreadsheetml/2010/11/main" uri="{B97F6D7D-B522-45F9-BDA1-12C45D357490}">
          <x15:cacheHierarchy aggregatedColumn="14"/>
        </ext>
      </extLst>
    </cacheHierarchy>
    <cacheHierarchy uniqueName="[Measures].[Sum of Chi Phí - ngắn]" caption="Sum of Chi Phí - ngắn" measure="1" displayFolder="" measureGroup="Table_Raw_Data__ngắn" count="0" hidden="1">
      <extLst>
        <ext xmlns:x15="http://schemas.microsoft.com/office/spreadsheetml/2010/11/main" uri="{B97F6D7D-B522-45F9-BDA1-12C45D357490}">
          <x15:cacheHierarchy aggregatedColumn="13"/>
        </ext>
      </extLst>
    </cacheHierarchy>
    <cacheHierarchy uniqueName="[Measures].[Sum of Chi Phí- Dài]" caption="Sum of Chi Phí- Dài" measure="1" displayFolder="" measureGroup="Table_Raw_Data___dài" count="0" hidden="1">
      <extLst>
        <ext xmlns:x15="http://schemas.microsoft.com/office/spreadsheetml/2010/11/main" uri="{B97F6D7D-B522-45F9-BDA1-12C45D357490}">
          <x15:cacheHierarchy aggregatedColumn="3"/>
        </ext>
      </extLst>
    </cacheHierarchy>
    <cacheHierarchy uniqueName="[Measures].[Sum of KPI-dài]" caption="Sum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Average of KPI-dài]" caption="Average of KPI-dài" measure="1" displayFolder="" measureGroup="Table_Raw_Data___dài" count="0" hidden="1">
      <extLst>
        <ext xmlns:x15="http://schemas.microsoft.com/office/spreadsheetml/2010/11/main" uri="{B97F6D7D-B522-45F9-BDA1-12C45D357490}">
          <x15:cacheHierarchy aggregatedColumn="4"/>
        </ext>
      </extLst>
    </cacheHierarchy>
    <cacheHierarchy uniqueName="[Measures].[Sum of Chi Phí - LTL]" caption="Sum of Chi Phí - LTL" measure="1" displayFolder="" measureGroup="Table_Raw_Data___LTL" count="0" hidden="1">
      <extLst>
        <ext xmlns:x15="http://schemas.microsoft.com/office/spreadsheetml/2010/11/main" uri="{B97F6D7D-B522-45F9-BDA1-12C45D357490}">
          <x15:cacheHierarchy aggregatedColumn="8"/>
        </ext>
      </extLst>
    </cacheHierarchy>
    <cacheHierarchy uniqueName="[Measures].[Sum of KPI- LTL]" caption="Sum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Average of KPI- LTL]" caption="Average of KPI- LTL" measure="1" displayFolder="" measureGroup="Table_Raw_Data___LTL" count="0" hidden="1">
      <extLst>
        <ext xmlns:x15="http://schemas.microsoft.com/office/spreadsheetml/2010/11/main" uri="{B97F6D7D-B522-45F9-BDA1-12C45D357490}">
          <x15:cacheHierarchy aggregatedColumn="9"/>
        </ext>
      </extLst>
    </cacheHierarchy>
    <cacheHierarchy uniqueName="[Measures].[Sum of Amount]" caption="Sum of Amount" measure="1" displayFolder="" measureGroup="TRANSPORTATION_COST___RAW_DATA___FACTORY" count="0" hidden="1">
      <extLst>
        <ext xmlns:x15="http://schemas.microsoft.com/office/spreadsheetml/2010/11/main" uri="{B97F6D7D-B522-45F9-BDA1-12C45D357490}">
          <x15:cacheHierarchy aggregatedColumn="21"/>
        </ext>
      </extLst>
    </cacheHierarchy>
    <cacheHierarchy uniqueName="[Measures].[Sum of Qty]" caption="Sum of Qty" measure="1" displayFolder="" measureGroup="TRANSPORTATION_COST___RAW_DATA___FACTORY" count="0" hidden="1">
      <extLst>
        <ext xmlns:x15="http://schemas.microsoft.com/office/spreadsheetml/2010/11/main" uri="{B97F6D7D-B522-45F9-BDA1-12C45D357490}">
          <x15:cacheHierarchy aggregatedColumn="19"/>
        </ext>
      </extLst>
    </cacheHierarchy>
    <cacheHierarchy uniqueName="[Measures].[Sum of CBM]" caption="Sum of CBM" measure="1" displayFolder="" measureGroup="TRANSPORTATION_COST___RAW_DATA___FACTORY"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178574565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
  <r>
    <x v="0"/>
    <x v="0"/>
    <s v="NHUT LIEN"/>
    <n v="157806245"/>
    <n v="0.95599999999999996"/>
  </r>
  <r>
    <x v="0"/>
    <x v="0"/>
    <s v="NHAT QUANG"/>
    <n v="161848046.00000021"/>
    <n v="0.97599999999999998"/>
  </r>
  <r>
    <x v="0"/>
    <x v="0"/>
    <s v="NHAT PHONG VAN"/>
    <n v="70663389.999999985"/>
    <n v="0.91800000000000004"/>
  </r>
  <r>
    <x v="0"/>
    <x v="1"/>
    <s v="CITY"/>
    <n v="135657181.81818181"/>
    <n v="0.95899999999999996"/>
  </r>
  <r>
    <x v="0"/>
    <x v="1"/>
    <s v="GHP"/>
    <n v="90524999.999999955"/>
    <n v="0.96599999999999997"/>
  </r>
  <r>
    <x v="0"/>
    <x v="2"/>
    <s v="PHUONG ANH"/>
    <n v="61396000"/>
    <n v="0.97"/>
  </r>
  <r>
    <x v="0"/>
    <x v="3"/>
    <s v="KHANG THINH"/>
    <n v="88336015"/>
    <n v="0.95399999999999996"/>
  </r>
  <r>
    <x v="0"/>
    <x v="3"/>
    <s v="THUAN THANH TIN"/>
    <n v="29127085"/>
    <n v="0.96740000000000004"/>
  </r>
  <r>
    <x v="0"/>
    <x v="4"/>
    <s v="LOGITEM"/>
    <n v="424531000"/>
    <n v="0.96860000000000002"/>
  </r>
  <r>
    <x v="0"/>
    <x v="4"/>
    <s v="NHAT TIN"/>
    <n v="24281000"/>
    <n v="0.97299999999999998"/>
  </r>
  <r>
    <x v="0"/>
    <x v="4"/>
    <s v="THUY ANH"/>
    <n v="95212000"/>
    <n v="0.96499999999999997"/>
  </r>
  <r>
    <x v="0"/>
    <x v="5"/>
    <s v="ANH MINH"/>
    <n v="571774677.81019998"/>
    <n v="0.95"/>
  </r>
  <r>
    <x v="0"/>
    <x v="5"/>
    <s v="PHUONG DUC"/>
    <n v="354165312.75296402"/>
    <n v="0.95499999999999996"/>
  </r>
  <r>
    <x v="0"/>
    <x v="5"/>
    <s v="HOI TU"/>
    <n v="471228853.38867199"/>
    <n v="0.96499999999999997"/>
  </r>
  <r>
    <x v="0"/>
    <x v="5"/>
    <s v="VINAFCO"/>
    <n v="493319608.49521601"/>
    <n v="0.95699999999999996"/>
  </r>
  <r>
    <x v="0"/>
    <x v="6"/>
    <s v="THUAN THANH TIN"/>
    <n v="270234544"/>
    <n v="0.96299999999999997"/>
  </r>
  <r>
    <x v="0"/>
    <x v="6"/>
    <s v="VINAFCO"/>
    <n v="383581896.61881"/>
    <n v="0.95"/>
  </r>
  <r>
    <x v="0"/>
    <x v="6"/>
    <s v="LOGITEM"/>
    <n v="389547228"/>
    <n v="0.95799999999999996"/>
  </r>
  <r>
    <x v="0"/>
    <x v="6"/>
    <s v="SPNL"/>
    <n v="471613900"/>
    <n v="0.96299999999999997"/>
  </r>
  <r>
    <x v="1"/>
    <x v="0"/>
    <s v="NHUT LIEN"/>
    <n v="174336975.00000021"/>
    <n v="0.93799999999999994"/>
  </r>
  <r>
    <x v="1"/>
    <x v="0"/>
    <s v="NHAT QUANG"/>
    <n v="261943474.99999985"/>
    <n v="0.97699999999999998"/>
  </r>
  <r>
    <x v="1"/>
    <x v="0"/>
    <s v="NHAT PHONG VAN"/>
    <n v="92675185"/>
    <n v="0.9"/>
  </r>
  <r>
    <x v="1"/>
    <x v="1"/>
    <s v="CITY"/>
    <n v="135657181.81818181"/>
    <n v="0.96899999999999997"/>
  </r>
  <r>
    <x v="1"/>
    <x v="1"/>
    <s v="GHP"/>
    <n v="90524999.999999955"/>
    <n v="0.96699999999999997"/>
  </r>
  <r>
    <x v="1"/>
    <x v="2"/>
    <s v="PHUONG ANH"/>
    <n v="135512999.99999994"/>
    <n v="0.96"/>
  </r>
  <r>
    <x v="1"/>
    <x v="3"/>
    <s v="KHANG THINH"/>
    <n v="111423645"/>
    <n v="0.85899999999999999"/>
  </r>
  <r>
    <x v="1"/>
    <x v="3"/>
    <s v="THUAN THANH TIN"/>
    <n v="40685500"/>
    <n v="0.95899999999999996"/>
  </r>
  <r>
    <x v="1"/>
    <x v="4"/>
    <s v="LOGITEM"/>
    <n v="376055000"/>
    <n v="0.91400000000000003"/>
  </r>
  <r>
    <x v="1"/>
    <x v="4"/>
    <s v="NHAT TIN"/>
    <n v="4255000"/>
    <n v="0.95799999999999996"/>
  </r>
  <r>
    <x v="1"/>
    <x v="4"/>
    <s v="THUY ANH"/>
    <n v="119622000"/>
    <n v="0.96099999999999997"/>
  </r>
  <r>
    <x v="1"/>
    <x v="5"/>
    <s v="ANH MINH"/>
    <n v="782294463.1207881"/>
    <n v="0.95399999999999996"/>
  </r>
  <r>
    <x v="1"/>
    <x v="5"/>
    <s v="PHUONG DUC"/>
    <n v="453218571.66343999"/>
    <n v="0.95399999999999996"/>
  </r>
  <r>
    <x v="1"/>
    <x v="5"/>
    <s v="HOI TU"/>
    <n v="664464541.09267199"/>
    <n v="0.95499999999999996"/>
  </r>
  <r>
    <x v="1"/>
    <x v="5"/>
    <s v="VINAFCO"/>
    <n v="596938875.73059201"/>
    <n v="0.95699999999999996"/>
  </r>
  <r>
    <x v="1"/>
    <x v="6"/>
    <s v="THUAN THANH TIN"/>
    <n v="326570046"/>
    <n v="0.95499999999999996"/>
  </r>
  <r>
    <x v="1"/>
    <x v="6"/>
    <s v="VINAFCO"/>
    <n v="404955449.99777001"/>
    <n v="0.95599999999999996"/>
  </r>
  <r>
    <x v="1"/>
    <x v="6"/>
    <s v="LOGITEM"/>
    <n v="445654000"/>
    <n v="0.95"/>
  </r>
  <r>
    <x v="1"/>
    <x v="6"/>
    <s v="SPNL"/>
    <n v="472221250"/>
    <n v="0.96299999999999997"/>
  </r>
  <r>
    <x v="2"/>
    <x v="0"/>
    <s v="NHUT LIEN"/>
    <n v="67672616.000000015"/>
    <n v="0.91200000000000003"/>
  </r>
  <r>
    <x v="2"/>
    <x v="0"/>
    <s v="NHAT QUANG"/>
    <n v="91651330.000000089"/>
    <n v="0.96799999999999997"/>
  </r>
  <r>
    <x v="2"/>
    <x v="0"/>
    <s v="NHAT PHONG VAN"/>
    <n v="29720980.000000007"/>
    <n v="0.95099999999999996"/>
  </r>
  <r>
    <x v="2"/>
    <x v="1"/>
    <s v="CITY"/>
    <n v="103259370"/>
    <n v="0.97"/>
  </r>
  <r>
    <x v="2"/>
    <x v="1"/>
    <s v="GHP"/>
    <n v="62277000"/>
    <n v="0.96799999999999997"/>
  </r>
  <r>
    <x v="2"/>
    <x v="2"/>
    <s v="PHUONG ANH"/>
    <n v="70203000"/>
    <n v="0.95"/>
  </r>
  <r>
    <x v="2"/>
    <x v="3"/>
    <s v="KHANG THINH"/>
    <n v="48946090"/>
    <n v="0.95899999999999996"/>
  </r>
  <r>
    <x v="2"/>
    <x v="3"/>
    <s v="THUAN THANH TIN"/>
    <n v="21347710"/>
    <n v="0.96899999999999997"/>
  </r>
  <r>
    <x v="2"/>
    <x v="4"/>
    <s v="LOGITEM"/>
    <n v="100364000"/>
    <n v="0.95450000000000002"/>
  </r>
  <r>
    <x v="2"/>
    <x v="4"/>
    <s v="THUY ANH"/>
    <n v="8739000"/>
    <n v="0.95799999999999996"/>
  </r>
  <r>
    <x v="2"/>
    <x v="5"/>
    <s v="ANH MINH"/>
    <n v="338399346"/>
    <n v="0.95899999999999996"/>
  </r>
  <r>
    <x v="2"/>
    <x v="5"/>
    <s v="PHUONG DUC"/>
    <n v="177677815"/>
    <n v="0.95599999999999996"/>
  </r>
  <r>
    <x v="2"/>
    <x v="5"/>
    <s v="HOI TU"/>
    <n v="261395853"/>
    <n v="0.96"/>
  </r>
  <r>
    <x v="2"/>
    <x v="5"/>
    <s v="VINAFCO"/>
    <n v="231553410"/>
    <n v="0.95799999999999996"/>
  </r>
  <r>
    <x v="2"/>
    <x v="6"/>
    <s v="THUAN THANH TIN"/>
    <n v="165113074"/>
    <n v="0.96099999999999997"/>
  </r>
  <r>
    <x v="2"/>
    <x v="6"/>
    <s v="VINAFCO"/>
    <n v="168320827.79610002"/>
    <n v="0.96899999999999997"/>
  </r>
  <r>
    <x v="2"/>
    <x v="6"/>
    <s v="LOGITEM"/>
    <n v="252210000"/>
    <n v="0.96799999999999997"/>
  </r>
  <r>
    <x v="2"/>
    <x v="6"/>
    <s v="SPNL"/>
    <n v="184464100"/>
    <n v="0.97199999999999998"/>
  </r>
  <r>
    <x v="3"/>
    <x v="0"/>
    <s v="NHUT LIEN"/>
    <n v="58009580.000000007"/>
    <n v="0.90400000000000003"/>
  </r>
  <r>
    <x v="3"/>
    <x v="0"/>
    <s v="NHAT QUANG"/>
    <n v="155814019.00000003"/>
    <n v="0.94099999999999995"/>
  </r>
  <r>
    <x v="3"/>
    <x v="0"/>
    <s v="NHAT PHONG VAN"/>
    <n v="31087935.000000011"/>
    <n v="0.90200000000000002"/>
  </r>
  <r>
    <x v="3"/>
    <x v="1"/>
    <s v="CITY"/>
    <n v="112687400"/>
    <n v="0.97"/>
  </r>
  <r>
    <x v="3"/>
    <x v="1"/>
    <s v="GHP"/>
    <n v="72905600"/>
    <n v="0.96799999999999997"/>
  </r>
  <r>
    <x v="3"/>
    <x v="2"/>
    <s v="PHUONG ANH"/>
    <n v="33775000"/>
    <n v="0.95"/>
  </r>
  <r>
    <x v="3"/>
    <x v="3"/>
    <s v="KHANG THINH"/>
    <n v="53381195"/>
    <n v="0.95899999999999996"/>
  </r>
  <r>
    <x v="3"/>
    <x v="3"/>
    <s v="THUAN THANH TIN"/>
    <n v="26225380"/>
    <n v="0.97"/>
  </r>
  <r>
    <x v="3"/>
    <x v="4"/>
    <s v="LOGITEM"/>
    <n v="100650000"/>
    <n v="0.95940000000000003"/>
  </r>
  <r>
    <x v="3"/>
    <x v="4"/>
    <s v="THUY ANH"/>
    <n v="28160000"/>
    <n v="0.96699999999999997"/>
  </r>
  <r>
    <x v="3"/>
    <x v="5"/>
    <s v="ANH MINH"/>
    <n v="404318778.96348"/>
    <n v="0.95899999999999996"/>
  </r>
  <r>
    <x v="3"/>
    <x v="5"/>
    <s v="PHUONG DUC"/>
    <n v="184856625.62696001"/>
    <n v="0.95799999999999996"/>
  </r>
  <r>
    <x v="3"/>
    <x v="5"/>
    <s v="HOI TU"/>
    <n v="294019597.88500798"/>
    <n v="0.97"/>
  </r>
  <r>
    <x v="3"/>
    <x v="5"/>
    <s v="VINAFCO"/>
    <n v="216097582.78816"/>
    <n v="0.96"/>
  </r>
  <r>
    <x v="3"/>
    <x v="6"/>
    <s v="THUAN THANH TIN"/>
    <n v="120674000"/>
    <n v="0.95799999999999996"/>
  </r>
  <r>
    <x v="3"/>
    <x v="6"/>
    <s v="VINAFCO"/>
    <n v="217250861"/>
    <n v="0.95899999999999996"/>
  </r>
  <r>
    <x v="3"/>
    <x v="6"/>
    <s v="LOGITEM"/>
    <n v="252036000"/>
    <n v="0.96399999999999997"/>
  </r>
  <r>
    <x v="3"/>
    <x v="6"/>
    <s v="SPNL"/>
    <n v="276410068"/>
    <n v="0.95799999999999996"/>
  </r>
  <r>
    <x v="4"/>
    <x v="0"/>
    <s v="NHUT LIEN"/>
    <n v="142189254.00000006"/>
    <n v="0.94599999999999995"/>
  </r>
  <r>
    <x v="4"/>
    <x v="0"/>
    <s v="NHAT QUANG"/>
    <n v="310034432.00000012"/>
    <n v="0.95899999999999996"/>
  </r>
  <r>
    <x v="4"/>
    <x v="0"/>
    <s v="NHAT PHONG VAN"/>
    <n v="144584999.99999994"/>
    <n v="0.94099999999999995"/>
  </r>
  <r>
    <x v="4"/>
    <x v="1"/>
    <s v="CITY"/>
    <n v="160498900.99999976"/>
    <n v="0.89900000000000002"/>
  </r>
  <r>
    <x v="4"/>
    <x v="1"/>
    <s v="GHP"/>
    <n v="74185888.88888894"/>
    <n v="0.89600000000000002"/>
  </r>
  <r>
    <x v="4"/>
    <x v="2"/>
    <s v="PHUONG ANH"/>
    <n v="75202000"/>
    <n v="0.96"/>
  </r>
  <r>
    <x v="4"/>
    <x v="3"/>
    <s v="KHANG THINH"/>
    <n v="83644185"/>
    <n v="0.96899999999999997"/>
  </r>
  <r>
    <x v="4"/>
    <x v="3"/>
    <s v="THUAN THANH TIN"/>
    <n v="31037125"/>
    <n v="0.95499999999999996"/>
  </r>
  <r>
    <x v="4"/>
    <x v="4"/>
    <s v="LOGITEM"/>
    <n v="255266000"/>
    <n v="0.95399999999999996"/>
  </r>
  <r>
    <x v="4"/>
    <x v="4"/>
    <s v="NHAT TIN"/>
    <n v="4296600"/>
    <n v="0.95799999999999996"/>
  </r>
  <r>
    <x v="4"/>
    <x v="4"/>
    <s v="THUY ANH"/>
    <n v="64259800"/>
    <n v="0.97199999999999998"/>
  </r>
  <r>
    <x v="4"/>
    <x v="5"/>
    <s v="ANH MINH"/>
    <n v="423945587.564888"/>
    <n v="0.95099999999999996"/>
  </r>
  <r>
    <x v="4"/>
    <x v="5"/>
    <s v="PHUONG DUC"/>
    <n v="236377447.31353599"/>
    <n v="0.95599999999999996"/>
  </r>
  <r>
    <x v="4"/>
    <x v="5"/>
    <s v="HOI TU"/>
    <n v="408602173.16988802"/>
    <n v="0.95899999999999996"/>
  </r>
  <r>
    <x v="4"/>
    <x v="5"/>
    <s v="VINAFCO"/>
    <n v="259682842.83199999"/>
    <n v="0.95799999999999996"/>
  </r>
  <r>
    <x v="4"/>
    <x v="6"/>
    <s v="THUAN THANH TIN"/>
    <n v="219388000"/>
    <n v="0.96299999999999997"/>
  </r>
  <r>
    <x v="4"/>
    <x v="6"/>
    <s v="VINAFCO"/>
    <n v="258659662.81213"/>
    <n v="0.95699999999999996"/>
  </r>
  <r>
    <x v="4"/>
    <x v="6"/>
    <s v="LOGITEM"/>
    <n v="325400200"/>
    <n v="0.96199999999999997"/>
  </r>
  <r>
    <x v="4"/>
    <x v="6"/>
    <s v="SPNL"/>
    <n v="491834246"/>
    <n v="0.95799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DF72A4-B78E-4D49-959A-3F303DA6E2CD}" name="count number" cacheId="1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6:I33" firstHeaderRow="1" firstDataRow="2" firstDataCol="1"/>
  <pivotFields count="5">
    <pivotField axis="axisRow" showAll="0">
      <items count="6">
        <item x="0"/>
        <item x="1"/>
        <item x="4"/>
        <item x="2"/>
        <item x="3"/>
        <item t="default"/>
      </items>
    </pivotField>
    <pivotField axis="axisCol" showAll="0">
      <items count="8">
        <item x="4"/>
        <item x="0"/>
        <item x="6"/>
        <item x="5"/>
        <item x="1"/>
        <item x="3"/>
        <item x="2"/>
        <item t="default"/>
      </items>
    </pivotField>
    <pivotField dataField="1" showAll="0"/>
    <pivotField showAll="0"/>
    <pivotField showAll="0"/>
  </pivotFields>
  <rowFields count="1">
    <field x="0"/>
  </rowFields>
  <rowItems count="6">
    <i>
      <x/>
    </i>
    <i>
      <x v="1"/>
    </i>
    <i>
      <x v="2"/>
    </i>
    <i>
      <x v="3"/>
    </i>
    <i>
      <x v="4"/>
    </i>
    <i t="grand">
      <x/>
    </i>
  </rowItems>
  <colFields count="1">
    <field x="1"/>
  </colFields>
  <colItems count="8">
    <i>
      <x/>
    </i>
    <i>
      <x v="1"/>
    </i>
    <i>
      <x v="2"/>
    </i>
    <i>
      <x v="3"/>
    </i>
    <i>
      <x v="4"/>
    </i>
    <i>
      <x v="5"/>
    </i>
    <i>
      <x v="6"/>
    </i>
    <i t="grand">
      <x/>
    </i>
  </colItems>
  <dataFields count="1">
    <dataField name="Count of Nhà vận tải" fld="2" subtotal="count" baseField="0" baseItem="0"/>
  </dataFields>
  <formats count="20">
    <format dxfId="561">
      <pivotArea type="all" dataOnly="0" outline="0" fieldPosition="0"/>
    </format>
    <format dxfId="560">
      <pivotArea outline="0" collapsedLevelsAreSubtotals="1" fieldPosition="0"/>
    </format>
    <format dxfId="559">
      <pivotArea type="origin" dataOnly="0" labelOnly="1" outline="0" fieldPosition="0"/>
    </format>
    <format dxfId="558">
      <pivotArea field="0" type="button" dataOnly="0" labelOnly="1" outline="0" axis="axisRow" fieldPosition="0"/>
    </format>
    <format dxfId="557">
      <pivotArea type="topRight" dataOnly="0" labelOnly="1" outline="0" fieldPosition="0"/>
    </format>
    <format dxfId="556">
      <pivotArea field="1" type="button" dataOnly="0" labelOnly="1" outline="0" axis="axisCol" fieldPosition="0"/>
    </format>
    <format dxfId="555">
      <pivotArea dataOnly="0" labelOnly="1" fieldPosition="0">
        <references count="1">
          <reference field="1" count="0"/>
        </references>
      </pivotArea>
    </format>
    <format dxfId="554">
      <pivotArea dataOnly="0" labelOnly="1" grandRow="1" outline="0" fieldPosition="0"/>
    </format>
    <format dxfId="553">
      <pivotArea dataOnly="0" labelOnly="1" fieldPosition="0">
        <references count="1">
          <reference field="0" count="0"/>
        </references>
      </pivotArea>
    </format>
    <format dxfId="552">
      <pivotArea dataOnly="0" labelOnly="1" grandCol="1" outline="0" fieldPosition="0"/>
    </format>
    <format dxfId="551">
      <pivotArea type="all" dataOnly="0" outline="0" fieldPosition="0"/>
    </format>
    <format dxfId="550">
      <pivotArea outline="0" collapsedLevelsAreSubtotals="1" fieldPosition="0"/>
    </format>
    <format dxfId="549">
      <pivotArea type="origin" dataOnly="0" labelOnly="1" outline="0" fieldPosition="0"/>
    </format>
    <format dxfId="548">
      <pivotArea field="1" type="button" dataOnly="0" labelOnly="1" outline="0" axis="axisCol" fieldPosition="0"/>
    </format>
    <format dxfId="547">
      <pivotArea type="topRight" dataOnly="0" labelOnly="1" outline="0" fieldPosition="0"/>
    </format>
    <format dxfId="546">
      <pivotArea field="0" type="button" dataOnly="0" labelOnly="1" outline="0" axis="axisRow" fieldPosition="0"/>
    </format>
    <format dxfId="545">
      <pivotArea dataOnly="0" labelOnly="1" fieldPosition="0">
        <references count="1">
          <reference field="0" count="0"/>
        </references>
      </pivotArea>
    </format>
    <format dxfId="544">
      <pivotArea dataOnly="0" labelOnly="1" grandRow="1" outline="0" fieldPosition="0"/>
    </format>
    <format dxfId="543">
      <pivotArea dataOnly="0" labelOnly="1" fieldPosition="0">
        <references count="1">
          <reference field="1" count="0"/>
        </references>
      </pivotArea>
    </format>
    <format dxfId="542">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96451A-9FF1-40BE-818B-0114D29063FA}" name="tỉ lệ." cacheId="1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16:B133" firstHeaderRow="1" firstDataRow="1" firstDataCol="1" rowPageCount="2" colPageCount="1"/>
  <pivotFields count="4">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s>
  <rowFields count="1">
    <field x="0"/>
  </rowFields>
  <rowItems count="17">
    <i>
      <x/>
    </i>
    <i>
      <x v="1"/>
    </i>
    <i>
      <x v="2"/>
    </i>
    <i>
      <x v="3"/>
    </i>
    <i>
      <x v="4"/>
    </i>
    <i>
      <x v="5"/>
    </i>
    <i>
      <x v="6"/>
    </i>
    <i>
      <x v="7"/>
    </i>
    <i>
      <x v="8"/>
    </i>
    <i>
      <x v="9"/>
    </i>
    <i>
      <x v="10"/>
    </i>
    <i>
      <x v="11"/>
    </i>
    <i>
      <x v="12"/>
    </i>
    <i>
      <x v="13"/>
    </i>
    <i>
      <x v="14"/>
    </i>
    <i>
      <x v="15"/>
    </i>
    <i t="grand">
      <x/>
    </i>
  </rowItems>
  <colItems count="1">
    <i/>
  </colItems>
  <pageFields count="2">
    <pageField fld="1" hier="10" name="[Table_Raw_Data__ngắn].[Tháng].[All]" cap="All"/>
    <pageField fld="2" hier="11" name="[Table_Raw_Data__ngắn].[Chi nhánh].[All]" cap="All"/>
  </pageFields>
  <dataFields count="1">
    <dataField name="Sum of Chi Phí - ngắn" fld="3" showDataAs="percentOfCol" baseField="0" baseItem="0" numFmtId="10"/>
  </dataFields>
  <formats count="9">
    <format dxfId="570">
      <pivotArea outline="0" collapsedLevelsAreSubtotals="1" fieldPosition="0"/>
    </format>
    <format dxfId="569">
      <pivotArea collapsedLevelsAreSubtotals="1" fieldPosition="0">
        <references count="1">
          <reference field="0" count="0"/>
        </references>
      </pivotArea>
    </format>
    <format dxfId="568">
      <pivotArea outline="0" fieldPosition="0">
        <references count="1">
          <reference field="4294967294" count="1">
            <x v="0"/>
          </reference>
        </references>
      </pivotArea>
    </format>
    <format dxfId="567">
      <pivotArea type="all" dataOnly="0" outline="0" fieldPosition="0"/>
    </format>
    <format dxfId="566">
      <pivotArea outline="0" collapsedLevelsAreSubtotals="1" fieldPosition="0"/>
    </format>
    <format dxfId="565">
      <pivotArea field="0" type="button" dataOnly="0" labelOnly="1" outline="0" axis="axisRow" fieldPosition="0"/>
    </format>
    <format dxfId="564">
      <pivotArea dataOnly="0" labelOnly="1" fieldPosition="0">
        <references count="1">
          <reference field="0" count="4">
            <x v="5"/>
            <x v="12"/>
            <x v="13"/>
            <x v="15"/>
          </reference>
        </references>
      </pivotArea>
    </format>
    <format dxfId="563">
      <pivotArea dataOnly="0" labelOnly="1" grandRow="1" outline="0" fieldPosition="0"/>
    </format>
    <format dxfId="562">
      <pivotArea dataOnly="0" labelOnly="1" outline="0" axis="axisValues" fieldPosition="0"/>
    </format>
  </formats>
  <chartFormats count="17">
    <chartFormat chart="9" format="18" series="1">
      <pivotArea type="data" outline="0" fieldPosition="0">
        <references count="1">
          <reference field="4294967294" count="1" selected="0">
            <x v="0"/>
          </reference>
        </references>
      </pivotArea>
    </chartFormat>
    <chartFormat chart="9" format="19">
      <pivotArea type="data" outline="0" fieldPosition="0">
        <references count="2">
          <reference field="4294967294" count="1" selected="0">
            <x v="0"/>
          </reference>
          <reference field="0" count="1" selected="0">
            <x v="0"/>
          </reference>
        </references>
      </pivotArea>
    </chartFormat>
    <chartFormat chart="9" format="20">
      <pivotArea type="data" outline="0" fieldPosition="0">
        <references count="2">
          <reference field="4294967294" count="1" selected="0">
            <x v="0"/>
          </reference>
          <reference field="0" count="1" selected="0">
            <x v="1"/>
          </reference>
        </references>
      </pivotArea>
    </chartFormat>
    <chartFormat chart="9" format="21">
      <pivotArea type="data" outline="0" fieldPosition="0">
        <references count="2">
          <reference field="4294967294" count="1" selected="0">
            <x v="0"/>
          </reference>
          <reference field="0" count="1" selected="0">
            <x v="2"/>
          </reference>
        </references>
      </pivotArea>
    </chartFormat>
    <chartFormat chart="9" format="22">
      <pivotArea type="data" outline="0" fieldPosition="0">
        <references count="2">
          <reference field="4294967294" count="1" selected="0">
            <x v="0"/>
          </reference>
          <reference field="0" count="1" selected="0">
            <x v="3"/>
          </reference>
        </references>
      </pivotArea>
    </chartFormat>
    <chartFormat chart="9" format="23">
      <pivotArea type="data" outline="0" fieldPosition="0">
        <references count="2">
          <reference field="4294967294" count="1" selected="0">
            <x v="0"/>
          </reference>
          <reference field="0" count="1" selected="0">
            <x v="4"/>
          </reference>
        </references>
      </pivotArea>
    </chartFormat>
    <chartFormat chart="9" format="24">
      <pivotArea type="data" outline="0" fieldPosition="0">
        <references count="2">
          <reference field="4294967294" count="1" selected="0">
            <x v="0"/>
          </reference>
          <reference field="0" count="1" selected="0">
            <x v="5"/>
          </reference>
        </references>
      </pivotArea>
    </chartFormat>
    <chartFormat chart="9" format="25">
      <pivotArea type="data" outline="0" fieldPosition="0">
        <references count="2">
          <reference field="4294967294" count="1" selected="0">
            <x v="0"/>
          </reference>
          <reference field="0" count="1" selected="0">
            <x v="6"/>
          </reference>
        </references>
      </pivotArea>
    </chartFormat>
    <chartFormat chart="9" format="26">
      <pivotArea type="data" outline="0" fieldPosition="0">
        <references count="2">
          <reference field="4294967294" count="1" selected="0">
            <x v="0"/>
          </reference>
          <reference field="0" count="1" selected="0">
            <x v="7"/>
          </reference>
        </references>
      </pivotArea>
    </chartFormat>
    <chartFormat chart="9" format="27">
      <pivotArea type="data" outline="0" fieldPosition="0">
        <references count="2">
          <reference field="4294967294" count="1" selected="0">
            <x v="0"/>
          </reference>
          <reference field="0" count="1" selected="0">
            <x v="8"/>
          </reference>
        </references>
      </pivotArea>
    </chartFormat>
    <chartFormat chart="9" format="28">
      <pivotArea type="data" outline="0" fieldPosition="0">
        <references count="2">
          <reference field="4294967294" count="1" selected="0">
            <x v="0"/>
          </reference>
          <reference field="0" count="1" selected="0">
            <x v="9"/>
          </reference>
        </references>
      </pivotArea>
    </chartFormat>
    <chartFormat chart="9" format="29">
      <pivotArea type="data" outline="0" fieldPosition="0">
        <references count="2">
          <reference field="4294967294" count="1" selected="0">
            <x v="0"/>
          </reference>
          <reference field="0" count="1" selected="0">
            <x v="10"/>
          </reference>
        </references>
      </pivotArea>
    </chartFormat>
    <chartFormat chart="9" format="30">
      <pivotArea type="data" outline="0" fieldPosition="0">
        <references count="2">
          <reference field="4294967294" count="1" selected="0">
            <x v="0"/>
          </reference>
          <reference field="0" count="1" selected="0">
            <x v="11"/>
          </reference>
        </references>
      </pivotArea>
    </chartFormat>
    <chartFormat chart="9" format="31">
      <pivotArea type="data" outline="0" fieldPosition="0">
        <references count="2">
          <reference field="4294967294" count="1" selected="0">
            <x v="0"/>
          </reference>
          <reference field="0" count="1" selected="0">
            <x v="12"/>
          </reference>
        </references>
      </pivotArea>
    </chartFormat>
    <chartFormat chart="9" format="32">
      <pivotArea type="data" outline="0" fieldPosition="0">
        <references count="2">
          <reference field="4294967294" count="1" selected="0">
            <x v="0"/>
          </reference>
          <reference field="0" count="1" selected="0">
            <x v="13"/>
          </reference>
        </references>
      </pivotArea>
    </chartFormat>
    <chartFormat chart="9" format="33">
      <pivotArea type="data" outline="0" fieldPosition="0">
        <references count="2">
          <reference field="4294967294" count="1" selected="0">
            <x v="0"/>
          </reference>
          <reference field="0" count="1" selected="0">
            <x v="14"/>
          </reference>
        </references>
      </pivotArea>
    </chartFormat>
    <chartFormat chart="9" format="34">
      <pivotArea type="data" outline="0" fieldPosition="0">
        <references count="2">
          <reference field="4294967294" count="1" selected="0">
            <x v="0"/>
          </reference>
          <reference field="0" count="1" selected="0">
            <x v="15"/>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Excellen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ngắn">
        <x15:activeTabTopLevelEntity name="[Table_Raw_Data__ngắ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CE5D72-8102-4839-AAF1-570EBCB16C5A}" name="KPI" cacheId="1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70:E87" firstHeaderRow="0" firstDataRow="1" firstDataCol="1"/>
  <pivotFields count="7">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t="grand">
      <x/>
    </i>
  </rowItems>
  <colFields count="1">
    <field x="-2"/>
  </colFields>
  <colItems count="4">
    <i>
      <x/>
    </i>
    <i i="1">
      <x v="1"/>
    </i>
    <i i="2">
      <x v="2"/>
    </i>
    <i i="3">
      <x v="3"/>
    </i>
  </colItems>
  <dataFields count="4">
    <dataField name="Average of KPI- ngắn" fld="0" subtotal="average" baseField="0" baseItem="0"/>
    <dataField name="Excellent" fld="2" subtotal="count" baseField="1" baseItem="0"/>
    <dataField fld="3" subtotal="count" baseField="0" baseItem="0"/>
    <dataField fld="4" subtotal="count" baseField="0" baseItem="0"/>
  </dataFields>
  <formats count="7">
    <format dxfId="577">
      <pivotArea outline="0" collapsedLevelsAreSubtotals="1" fieldPosition="0"/>
    </format>
    <format dxfId="576">
      <pivotArea type="all" dataOnly="0" outline="0" fieldPosition="0"/>
    </format>
    <format dxfId="575">
      <pivotArea outline="0" collapsedLevelsAreSubtotals="1" fieldPosition="0"/>
    </format>
    <format dxfId="574">
      <pivotArea field="1" type="button" dataOnly="0" labelOnly="1" outline="0" axis="axisRow" fieldPosition="0"/>
    </format>
    <format dxfId="573">
      <pivotArea dataOnly="0" labelOnly="1" fieldPosition="0">
        <references count="1">
          <reference field="1" count="0"/>
        </references>
      </pivotArea>
    </format>
    <format dxfId="572">
      <pivotArea dataOnly="0" labelOnly="1" grandRow="1" outline="0" fieldPosition="0"/>
    </format>
    <format dxfId="571">
      <pivotArea dataOnly="0" labelOnly="1" outline="0" fieldPosition="0">
        <references count="1">
          <reference field="4294967294" count="4">
            <x v="0"/>
            <x v="1"/>
            <x v="2"/>
            <x v="3"/>
          </reference>
        </references>
      </pivotArea>
    </format>
  </formats>
  <chartFormats count="16">
    <chartFormat chart="6" format="8" series="1">
      <pivotArea type="data" outline="0" fieldPosition="0">
        <references count="1">
          <reference field="4294967294" count="1" selected="0">
            <x v="0"/>
          </reference>
        </references>
      </pivotArea>
    </chartFormat>
    <chartFormat chart="6" format="9" series="1">
      <pivotArea type="data" outline="0" fieldPosition="0">
        <references count="1">
          <reference field="4294967294" count="1" selected="0">
            <x v="1"/>
          </reference>
        </references>
      </pivotArea>
    </chartFormat>
    <chartFormat chart="6" format="10" series="1">
      <pivotArea type="data" outline="0" fieldPosition="0">
        <references count="1">
          <reference field="4294967294" count="1" selected="0">
            <x v="2"/>
          </reference>
        </references>
      </pivotArea>
    </chartFormat>
    <chartFormat chart="6" format="11" series="1">
      <pivotArea type="data" outline="0" fieldPosition="0">
        <references count="1">
          <reference field="4294967294" count="1" selected="0">
            <x v="3"/>
          </reference>
        </references>
      </pivotArea>
    </chartFormat>
    <chartFormat chart="6" format="12">
      <pivotArea type="data" outline="0" fieldPosition="0">
        <references count="2">
          <reference field="4294967294" count="1" selected="0">
            <x v="0"/>
          </reference>
          <reference field="1" count="1" selected="0">
            <x v="5"/>
          </reference>
        </references>
      </pivotArea>
    </chartFormat>
    <chartFormat chart="6" format="13">
      <pivotArea type="data" outline="0" fieldPosition="0">
        <references count="2">
          <reference field="4294967294" count="1" selected="0">
            <x v="0"/>
          </reference>
          <reference field="1" count="1" selected="0">
            <x v="12"/>
          </reference>
        </references>
      </pivotArea>
    </chartFormat>
    <chartFormat chart="6" format="14">
      <pivotArea type="data" outline="0" fieldPosition="0">
        <references count="2">
          <reference field="4294967294" count="1" selected="0">
            <x v="0"/>
          </reference>
          <reference field="1" count="1" selected="0">
            <x v="13"/>
          </reference>
        </references>
      </pivotArea>
    </chartFormat>
    <chartFormat chart="6" format="15">
      <pivotArea type="data" outline="0" fieldPosition="0">
        <references count="2">
          <reference field="4294967294" count="1" selected="0">
            <x v="0"/>
          </reference>
          <reference field="1" count="1" selected="0">
            <x v="15"/>
          </reference>
        </references>
      </pivotArea>
    </chartFormat>
    <chartFormat chart="6" format="16">
      <pivotArea type="data" outline="0" fieldPosition="0">
        <references count="2">
          <reference field="4294967294" count="1" selected="0">
            <x v="0"/>
          </reference>
          <reference field="1" count="1" selected="0">
            <x v="0"/>
          </reference>
        </references>
      </pivotArea>
    </chartFormat>
    <chartFormat chart="6" format="17">
      <pivotArea type="data" outline="0" fieldPosition="0">
        <references count="2">
          <reference field="4294967294" count="1" selected="0">
            <x v="0"/>
          </reference>
          <reference field="1" count="1" selected="0">
            <x v="2"/>
          </reference>
        </references>
      </pivotArea>
    </chartFormat>
    <chartFormat chart="6" format="18">
      <pivotArea type="data" outline="0" fieldPosition="0">
        <references count="2">
          <reference field="4294967294" count="1" selected="0">
            <x v="0"/>
          </reference>
          <reference field="1" count="1" selected="0">
            <x v="3"/>
          </reference>
        </references>
      </pivotArea>
    </chartFormat>
    <chartFormat chart="6" format="19">
      <pivotArea type="data" outline="0" fieldPosition="0">
        <references count="2">
          <reference field="4294967294" count="1" selected="0">
            <x v="0"/>
          </reference>
          <reference field="1" count="1" selected="0">
            <x v="7"/>
          </reference>
        </references>
      </pivotArea>
    </chartFormat>
    <chartFormat chart="6" format="20">
      <pivotArea type="data" outline="0" fieldPosition="0">
        <references count="2">
          <reference field="4294967294" count="1" selected="0">
            <x v="0"/>
          </reference>
          <reference field="1" count="1" selected="0">
            <x v="9"/>
          </reference>
        </references>
      </pivotArea>
    </chartFormat>
    <chartFormat chart="6" format="21">
      <pivotArea type="data" outline="0" fieldPosition="0">
        <references count="2">
          <reference field="4294967294" count="1" selected="0">
            <x v="0"/>
          </reference>
          <reference field="1" count="1" selected="0">
            <x v="10"/>
          </reference>
        </references>
      </pivotArea>
    </chartFormat>
    <chartFormat chart="6" format="22">
      <pivotArea type="data" outline="0" fieldPosition="0">
        <references count="2">
          <reference field="4294967294" count="1" selected="0">
            <x v="0"/>
          </reference>
          <reference field="1" count="1" selected="0">
            <x v="11"/>
          </reference>
        </references>
      </pivotArea>
    </chartFormat>
    <chartFormat chart="6" format="23">
      <pivotArea type="data" outline="0" fieldPosition="0">
        <references count="2">
          <reference field="4294967294" count="1" selected="0">
            <x v="0"/>
          </reference>
          <reference field="1" count="1" selected="0">
            <x v="14"/>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Excellen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ngắn">
        <x15:activeTabTopLevelEntity name="[Table_Raw_Data__ngắ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C0BE66-99B7-4958-867F-4BB7B21DC3E9}" name="chi phí" cacheId="1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1:I8" firstHeaderRow="1" firstDataRow="2" firstDataCol="1"/>
  <pivotFields count="5">
    <pivotField axis="axisRow" showAll="0">
      <items count="6">
        <item x="0"/>
        <item x="1"/>
        <item x="4"/>
        <item x="2"/>
        <item x="3"/>
        <item t="default"/>
      </items>
    </pivotField>
    <pivotField axis="axisCol" showAll="0">
      <items count="8">
        <item x="4"/>
        <item x="0"/>
        <item x="6"/>
        <item x="5"/>
        <item x="1"/>
        <item x="3"/>
        <item x="2"/>
        <item t="default"/>
      </items>
    </pivotField>
    <pivotField showAll="0"/>
    <pivotField dataField="1" showAll="0"/>
    <pivotField showAll="0"/>
  </pivotFields>
  <rowFields count="1">
    <field x="0"/>
  </rowFields>
  <rowItems count="6">
    <i>
      <x/>
    </i>
    <i>
      <x v="1"/>
    </i>
    <i>
      <x v="2"/>
    </i>
    <i>
      <x v="3"/>
    </i>
    <i>
      <x v="4"/>
    </i>
    <i t="grand">
      <x/>
    </i>
  </rowItems>
  <colFields count="1">
    <field x="1"/>
  </colFields>
  <colItems count="8">
    <i>
      <x/>
    </i>
    <i>
      <x v="1"/>
    </i>
    <i>
      <x v="2"/>
    </i>
    <i>
      <x v="3"/>
    </i>
    <i>
      <x v="4"/>
    </i>
    <i>
      <x v="5"/>
    </i>
    <i>
      <x v="6"/>
    </i>
    <i t="grand">
      <x/>
    </i>
  </colItems>
  <dataFields count="1">
    <dataField name="Sum of Chi Phí - ngắn" fld="3" baseField="0" baseItem="0" numFmtId="164"/>
  </dataFields>
  <formats count="20">
    <format dxfId="597">
      <pivotArea type="all" dataOnly="0" outline="0" fieldPosition="0"/>
    </format>
    <format dxfId="596">
      <pivotArea outline="0" collapsedLevelsAreSubtotals="1" fieldPosition="0"/>
    </format>
    <format dxfId="595">
      <pivotArea type="origin" dataOnly="0" labelOnly="1" outline="0" fieldPosition="0"/>
    </format>
    <format dxfId="594">
      <pivotArea field="0" type="button" dataOnly="0" labelOnly="1" outline="0" axis="axisRow" fieldPosition="0"/>
    </format>
    <format dxfId="593">
      <pivotArea type="topRight" dataOnly="0" labelOnly="1" outline="0" fieldPosition="0"/>
    </format>
    <format dxfId="592">
      <pivotArea field="1" type="button" dataOnly="0" labelOnly="1" outline="0" axis="axisCol" fieldPosition="0"/>
    </format>
    <format dxfId="591">
      <pivotArea dataOnly="0" labelOnly="1" fieldPosition="0">
        <references count="1">
          <reference field="1" count="0"/>
        </references>
      </pivotArea>
    </format>
    <format dxfId="590">
      <pivotArea dataOnly="0" labelOnly="1" grandRow="1" outline="0" fieldPosition="0"/>
    </format>
    <format dxfId="589">
      <pivotArea dataOnly="0" labelOnly="1" fieldPosition="0">
        <references count="1">
          <reference field="0" count="0"/>
        </references>
      </pivotArea>
    </format>
    <format dxfId="588">
      <pivotArea dataOnly="0" labelOnly="1" grandCol="1" outline="0" fieldPosition="0"/>
    </format>
    <format dxfId="587">
      <pivotArea type="all" dataOnly="0" outline="0" fieldPosition="0"/>
    </format>
    <format dxfId="586">
      <pivotArea outline="0" collapsedLevelsAreSubtotals="1" fieldPosition="0"/>
    </format>
    <format dxfId="585">
      <pivotArea type="origin" dataOnly="0" labelOnly="1" outline="0" fieldPosition="0"/>
    </format>
    <format dxfId="584">
      <pivotArea field="1" type="button" dataOnly="0" labelOnly="1" outline="0" axis="axisCol" fieldPosition="0"/>
    </format>
    <format dxfId="583">
      <pivotArea type="topRight" dataOnly="0" labelOnly="1" outline="0" fieldPosition="0"/>
    </format>
    <format dxfId="582">
      <pivotArea field="0" type="button" dataOnly="0" labelOnly="1" outline="0" axis="axisRow" fieldPosition="0"/>
    </format>
    <format dxfId="581">
      <pivotArea dataOnly="0" labelOnly="1" fieldPosition="0">
        <references count="1">
          <reference field="0" count="0"/>
        </references>
      </pivotArea>
    </format>
    <format dxfId="580">
      <pivotArea dataOnly="0" labelOnly="1" grandRow="1" outline="0" fieldPosition="0"/>
    </format>
    <format dxfId="579">
      <pivotArea dataOnly="0" labelOnly="1" fieldPosition="0">
        <references count="1">
          <reference field="1" count="0"/>
        </references>
      </pivotArea>
    </format>
    <format dxfId="578">
      <pivotArea dataOnly="0" labelOnly="1" grandCol="1" outline="0" fieldPosition="0"/>
    </format>
  </formats>
  <chartFormats count="34">
    <chartFormat chart="4" format="40" series="1">
      <pivotArea type="data" outline="0" fieldPosition="0">
        <references count="2">
          <reference field="4294967294" count="1" selected="0">
            <x v="0"/>
          </reference>
          <reference field="1" count="1" selected="0">
            <x v="0"/>
          </reference>
        </references>
      </pivotArea>
    </chartFormat>
    <chartFormat chart="4" format="41">
      <pivotArea type="data" outline="0" fieldPosition="0">
        <references count="3">
          <reference field="4294967294" count="1" selected="0">
            <x v="0"/>
          </reference>
          <reference field="0" count="1" selected="0">
            <x v="0"/>
          </reference>
          <reference field="1" count="1" selected="0">
            <x v="0"/>
          </reference>
        </references>
      </pivotArea>
    </chartFormat>
    <chartFormat chart="4" format="42" series="1">
      <pivotArea type="data" outline="0" fieldPosition="0">
        <references count="2">
          <reference field="4294967294" count="1" selected="0">
            <x v="0"/>
          </reference>
          <reference field="1" count="1" selected="0">
            <x v="1"/>
          </reference>
        </references>
      </pivotArea>
    </chartFormat>
    <chartFormat chart="4" format="43">
      <pivotArea type="data" outline="0" fieldPosition="0">
        <references count="3">
          <reference field="4294967294" count="1" selected="0">
            <x v="0"/>
          </reference>
          <reference field="0" count="1" selected="0">
            <x v="0"/>
          </reference>
          <reference field="1" count="1" selected="0">
            <x v="1"/>
          </reference>
        </references>
      </pivotArea>
    </chartFormat>
    <chartFormat chart="4" format="44" series="1">
      <pivotArea type="data" outline="0" fieldPosition="0">
        <references count="2">
          <reference field="4294967294" count="1" selected="0">
            <x v="0"/>
          </reference>
          <reference field="1" count="1" selected="0">
            <x v="2"/>
          </reference>
        </references>
      </pivotArea>
    </chartFormat>
    <chartFormat chart="4" format="45">
      <pivotArea type="data" outline="0" fieldPosition="0">
        <references count="3">
          <reference field="4294967294" count="1" selected="0">
            <x v="0"/>
          </reference>
          <reference field="0" count="1" selected="0">
            <x v="0"/>
          </reference>
          <reference field="1" count="1" selected="0">
            <x v="2"/>
          </reference>
        </references>
      </pivotArea>
    </chartFormat>
    <chartFormat chart="4" format="46" series="1">
      <pivotArea type="data" outline="0" fieldPosition="0">
        <references count="2">
          <reference field="4294967294" count="1" selected="0">
            <x v="0"/>
          </reference>
          <reference field="1" count="1" selected="0">
            <x v="3"/>
          </reference>
        </references>
      </pivotArea>
    </chartFormat>
    <chartFormat chart="4" format="47" series="1">
      <pivotArea type="data" outline="0" fieldPosition="0">
        <references count="2">
          <reference field="4294967294" count="1" selected="0">
            <x v="0"/>
          </reference>
          <reference field="1" count="1" selected="0">
            <x v="4"/>
          </reference>
        </references>
      </pivotArea>
    </chartFormat>
    <chartFormat chart="4" format="48">
      <pivotArea type="data" outline="0" fieldPosition="0">
        <references count="3">
          <reference field="4294967294" count="1" selected="0">
            <x v="0"/>
          </reference>
          <reference field="0" count="1" selected="0">
            <x v="0"/>
          </reference>
          <reference field="1" count="1" selected="0">
            <x v="4"/>
          </reference>
        </references>
      </pivotArea>
    </chartFormat>
    <chartFormat chart="4" format="49" series="1">
      <pivotArea type="data" outline="0" fieldPosition="0">
        <references count="2">
          <reference field="4294967294" count="1" selected="0">
            <x v="0"/>
          </reference>
          <reference field="1" count="1" selected="0">
            <x v="5"/>
          </reference>
        </references>
      </pivotArea>
    </chartFormat>
    <chartFormat chart="4" format="50">
      <pivotArea type="data" outline="0" fieldPosition="0">
        <references count="3">
          <reference field="4294967294" count="1" selected="0">
            <x v="0"/>
          </reference>
          <reference field="0" count="1" selected="0">
            <x v="0"/>
          </reference>
          <reference field="1" count="1" selected="0">
            <x v="5"/>
          </reference>
        </references>
      </pivotArea>
    </chartFormat>
    <chartFormat chart="4" format="51" series="1">
      <pivotArea type="data" outline="0" fieldPosition="0">
        <references count="2">
          <reference field="4294967294" count="1" selected="0">
            <x v="0"/>
          </reference>
          <reference field="1" count="1" selected="0">
            <x v="6"/>
          </reference>
        </references>
      </pivotArea>
    </chartFormat>
    <chartFormat chart="4" format="52">
      <pivotArea type="data" outline="0" fieldPosition="0">
        <references count="3">
          <reference field="4294967294" count="1" selected="0">
            <x v="0"/>
          </reference>
          <reference field="0" count="1" selected="0">
            <x v="0"/>
          </reference>
          <reference field="1" count="1" selected="0">
            <x v="6"/>
          </reference>
        </references>
      </pivotArea>
    </chartFormat>
    <chartFormat chart="4" format="53">
      <pivotArea type="data" outline="0" fieldPosition="0">
        <references count="3">
          <reference field="4294967294" count="1" selected="0">
            <x v="0"/>
          </reference>
          <reference field="0" count="1" selected="0">
            <x v="0"/>
          </reference>
          <reference field="1" count="1" selected="0">
            <x v="3"/>
          </reference>
        </references>
      </pivotArea>
    </chartFormat>
    <chartFormat chart="4" format="54">
      <pivotArea type="data" outline="0" fieldPosition="0">
        <references count="3">
          <reference field="4294967294" count="1" selected="0">
            <x v="0"/>
          </reference>
          <reference field="0" count="1" selected="0">
            <x v="1"/>
          </reference>
          <reference field="1" count="1" selected="0">
            <x v="0"/>
          </reference>
        </references>
      </pivotArea>
    </chartFormat>
    <chartFormat chart="4" format="55">
      <pivotArea type="data" outline="0" fieldPosition="0">
        <references count="3">
          <reference field="4294967294" count="1" selected="0">
            <x v="0"/>
          </reference>
          <reference field="0" count="1" selected="0">
            <x v="2"/>
          </reference>
          <reference field="1" count="1" selected="0">
            <x v="0"/>
          </reference>
        </references>
      </pivotArea>
    </chartFormat>
    <chartFormat chart="10" format="56" series="1">
      <pivotArea type="data" outline="0" fieldPosition="0">
        <references count="2">
          <reference field="4294967294" count="1" selected="0">
            <x v="0"/>
          </reference>
          <reference field="1" count="1" selected="0">
            <x v="0"/>
          </reference>
        </references>
      </pivotArea>
    </chartFormat>
    <chartFormat chart="10" format="57">
      <pivotArea type="data" outline="0" fieldPosition="0">
        <references count="3">
          <reference field="4294967294" count="1" selected="0">
            <x v="0"/>
          </reference>
          <reference field="0" count="1" selected="0">
            <x v="0"/>
          </reference>
          <reference field="1" count="1" selected="0">
            <x v="0"/>
          </reference>
        </references>
      </pivotArea>
    </chartFormat>
    <chartFormat chart="10" format="58" series="1">
      <pivotArea type="data" outline="0" fieldPosition="0">
        <references count="2">
          <reference field="4294967294" count="1" selected="0">
            <x v="0"/>
          </reference>
          <reference field="1" count="1" selected="0">
            <x v="1"/>
          </reference>
        </references>
      </pivotArea>
    </chartFormat>
    <chartFormat chart="10" format="59">
      <pivotArea type="data" outline="0" fieldPosition="0">
        <references count="3">
          <reference field="4294967294" count="1" selected="0">
            <x v="0"/>
          </reference>
          <reference field="0" count="1" selected="0">
            <x v="0"/>
          </reference>
          <reference field="1" count="1" selected="0">
            <x v="1"/>
          </reference>
        </references>
      </pivotArea>
    </chartFormat>
    <chartFormat chart="10" format="60" series="1">
      <pivotArea type="data" outline="0" fieldPosition="0">
        <references count="2">
          <reference field="4294967294" count="1" selected="0">
            <x v="0"/>
          </reference>
          <reference field="1" count="1" selected="0">
            <x v="2"/>
          </reference>
        </references>
      </pivotArea>
    </chartFormat>
    <chartFormat chart="10" format="61">
      <pivotArea type="data" outline="0" fieldPosition="0">
        <references count="3">
          <reference field="4294967294" count="1" selected="0">
            <x v="0"/>
          </reference>
          <reference field="0" count="1" selected="0">
            <x v="0"/>
          </reference>
          <reference field="1" count="1" selected="0">
            <x v="2"/>
          </reference>
        </references>
      </pivotArea>
    </chartFormat>
    <chartFormat chart="10" format="62" series="1">
      <pivotArea type="data" outline="0" fieldPosition="0">
        <references count="2">
          <reference field="4294967294" count="1" selected="0">
            <x v="0"/>
          </reference>
          <reference field="1" count="1" selected="0">
            <x v="3"/>
          </reference>
        </references>
      </pivotArea>
    </chartFormat>
    <chartFormat chart="10" format="63">
      <pivotArea type="data" outline="0" fieldPosition="0">
        <references count="3">
          <reference field="4294967294" count="1" selected="0">
            <x v="0"/>
          </reference>
          <reference field="0" count="1" selected="0">
            <x v="0"/>
          </reference>
          <reference field="1" count="1" selected="0">
            <x v="3"/>
          </reference>
        </references>
      </pivotArea>
    </chartFormat>
    <chartFormat chart="10" format="64" series="1">
      <pivotArea type="data" outline="0" fieldPosition="0">
        <references count="2">
          <reference field="4294967294" count="1" selected="0">
            <x v="0"/>
          </reference>
          <reference field="1" count="1" selected="0">
            <x v="4"/>
          </reference>
        </references>
      </pivotArea>
    </chartFormat>
    <chartFormat chart="10" format="65">
      <pivotArea type="data" outline="0" fieldPosition="0">
        <references count="3">
          <reference field="4294967294" count="1" selected="0">
            <x v="0"/>
          </reference>
          <reference field="0" count="1" selected="0">
            <x v="0"/>
          </reference>
          <reference field="1" count="1" selected="0">
            <x v="4"/>
          </reference>
        </references>
      </pivotArea>
    </chartFormat>
    <chartFormat chart="10" format="66" series="1">
      <pivotArea type="data" outline="0" fieldPosition="0">
        <references count="2">
          <reference field="4294967294" count="1" selected="0">
            <x v="0"/>
          </reference>
          <reference field="1" count="1" selected="0">
            <x v="5"/>
          </reference>
        </references>
      </pivotArea>
    </chartFormat>
    <chartFormat chart="10" format="67">
      <pivotArea type="data" outline="0" fieldPosition="0">
        <references count="3">
          <reference field="4294967294" count="1" selected="0">
            <x v="0"/>
          </reference>
          <reference field="0" count="1" selected="0">
            <x v="0"/>
          </reference>
          <reference field="1" count="1" selected="0">
            <x v="5"/>
          </reference>
        </references>
      </pivotArea>
    </chartFormat>
    <chartFormat chart="10" format="68" series="1">
      <pivotArea type="data" outline="0" fieldPosition="0">
        <references count="2">
          <reference field="4294967294" count="1" selected="0">
            <x v="0"/>
          </reference>
          <reference field="1" count="1" selected="0">
            <x v="6"/>
          </reference>
        </references>
      </pivotArea>
    </chartFormat>
    <chartFormat chart="10" format="69">
      <pivotArea type="data" outline="0" fieldPosition="0">
        <references count="3">
          <reference field="4294967294" count="1" selected="0">
            <x v="0"/>
          </reference>
          <reference field="0" count="1" selected="0">
            <x v="0"/>
          </reference>
          <reference field="1" count="1" selected="0">
            <x v="6"/>
          </reference>
        </references>
      </pivotArea>
    </chartFormat>
    <chartFormat chart="10" format="70">
      <pivotArea type="data" outline="0" fieldPosition="0">
        <references count="3">
          <reference field="4294967294" count="1" selected="0">
            <x v="0"/>
          </reference>
          <reference field="0" count="1" selected="0">
            <x v="1"/>
          </reference>
          <reference field="1" count="1" selected="0">
            <x v="0"/>
          </reference>
        </references>
      </pivotArea>
    </chartFormat>
    <chartFormat chart="10" format="71">
      <pivotArea type="data" outline="0" fieldPosition="0">
        <references count="3">
          <reference field="4294967294" count="1" selected="0">
            <x v="0"/>
          </reference>
          <reference field="0" count="1" selected="0">
            <x v="2"/>
          </reference>
          <reference field="1" count="1" selected="0">
            <x v="0"/>
          </reference>
        </references>
      </pivotArea>
    </chartFormat>
    <chartFormat chart="4" format="56">
      <pivotArea type="data" outline="0" fieldPosition="0">
        <references count="3">
          <reference field="4294967294" count="1" selected="0">
            <x v="0"/>
          </reference>
          <reference field="0" count="1" selected="0">
            <x v="3"/>
          </reference>
          <reference field="1" count="1" selected="0">
            <x v="0"/>
          </reference>
        </references>
      </pivotArea>
    </chartFormat>
    <chartFormat chart="4" format="57">
      <pivotArea type="data" outline="0" fieldPosition="0">
        <references count="3">
          <reference field="4294967294" count="1" selected="0">
            <x v="0"/>
          </reference>
          <reference field="0" count="1" selected="0">
            <x v="4"/>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6D5D5B0-3E75-4EEC-9BCD-4B604E8CB4AB}" name="static" cacheId="1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53:I60" firstHeaderRow="1" firstDataRow="2" firstDataCol="1"/>
  <pivotFields count="5">
    <pivotField axis="axisRow" showAll="0">
      <items count="6">
        <item x="0"/>
        <item x="1"/>
        <item x="4"/>
        <item x="2"/>
        <item x="3"/>
        <item t="default"/>
      </items>
    </pivotField>
    <pivotField axis="axisCol" showAll="0">
      <items count="8">
        <item x="4"/>
        <item x="0"/>
        <item x="6"/>
        <item x="5"/>
        <item x="1"/>
        <item x="3"/>
        <item x="2"/>
        <item t="default"/>
      </items>
    </pivotField>
    <pivotField showAll="0"/>
    <pivotField dataField="1" showAll="0"/>
    <pivotField showAll="0"/>
  </pivotFields>
  <rowFields count="1">
    <field x="0"/>
  </rowFields>
  <rowItems count="6">
    <i>
      <x/>
    </i>
    <i>
      <x v="1"/>
    </i>
    <i>
      <x v="2"/>
    </i>
    <i>
      <x v="3"/>
    </i>
    <i>
      <x v="4"/>
    </i>
    <i t="grand">
      <x/>
    </i>
  </rowItems>
  <colFields count="1">
    <field x="1"/>
  </colFields>
  <colItems count="8">
    <i>
      <x/>
    </i>
    <i>
      <x v="1"/>
    </i>
    <i>
      <x v="2"/>
    </i>
    <i>
      <x v="3"/>
    </i>
    <i>
      <x v="4"/>
    </i>
    <i>
      <x v="5"/>
    </i>
    <i>
      <x v="6"/>
    </i>
    <i t="grand">
      <x/>
    </i>
  </colItems>
  <dataFields count="1">
    <dataField name="Sum of Chi Phí - ngắn" fld="3" baseField="0" baseItem="0" numFmtId="164"/>
  </dataFields>
  <formats count="20">
    <format dxfId="617">
      <pivotArea type="all" dataOnly="0" outline="0" fieldPosition="0"/>
    </format>
    <format dxfId="616">
      <pivotArea outline="0" collapsedLevelsAreSubtotals="1" fieldPosition="0"/>
    </format>
    <format dxfId="615">
      <pivotArea type="origin" dataOnly="0" labelOnly="1" outline="0" fieldPosition="0"/>
    </format>
    <format dxfId="614">
      <pivotArea field="0" type="button" dataOnly="0" labelOnly="1" outline="0" axis="axisRow" fieldPosition="0"/>
    </format>
    <format dxfId="613">
      <pivotArea type="topRight" dataOnly="0" labelOnly="1" outline="0" fieldPosition="0"/>
    </format>
    <format dxfId="612">
      <pivotArea field="1" type="button" dataOnly="0" labelOnly="1" outline="0" axis="axisCol" fieldPosition="0"/>
    </format>
    <format dxfId="611">
      <pivotArea dataOnly="0" labelOnly="1" fieldPosition="0">
        <references count="1">
          <reference field="1" count="0"/>
        </references>
      </pivotArea>
    </format>
    <format dxfId="610">
      <pivotArea dataOnly="0" labelOnly="1" grandRow="1" outline="0" fieldPosition="0"/>
    </format>
    <format dxfId="609">
      <pivotArea dataOnly="0" labelOnly="1" fieldPosition="0">
        <references count="1">
          <reference field="0" count="0"/>
        </references>
      </pivotArea>
    </format>
    <format dxfId="608">
      <pivotArea dataOnly="0" labelOnly="1" grandCol="1" outline="0" fieldPosition="0"/>
    </format>
    <format dxfId="607">
      <pivotArea type="all" dataOnly="0" outline="0" fieldPosition="0"/>
    </format>
    <format dxfId="606">
      <pivotArea outline="0" collapsedLevelsAreSubtotals="1" fieldPosition="0"/>
    </format>
    <format dxfId="605">
      <pivotArea type="origin" dataOnly="0" labelOnly="1" outline="0" fieldPosition="0"/>
    </format>
    <format dxfId="604">
      <pivotArea field="1" type="button" dataOnly="0" labelOnly="1" outline="0" axis="axisCol" fieldPosition="0"/>
    </format>
    <format dxfId="603">
      <pivotArea type="topRight" dataOnly="0" labelOnly="1" outline="0" fieldPosition="0"/>
    </format>
    <format dxfId="602">
      <pivotArea field="0" type="button" dataOnly="0" labelOnly="1" outline="0" axis="axisRow" fieldPosition="0"/>
    </format>
    <format dxfId="601">
      <pivotArea dataOnly="0" labelOnly="1" fieldPosition="0">
        <references count="1">
          <reference field="0" count="0"/>
        </references>
      </pivotArea>
    </format>
    <format dxfId="600">
      <pivotArea dataOnly="0" labelOnly="1" grandRow="1" outline="0" fieldPosition="0"/>
    </format>
    <format dxfId="599">
      <pivotArea dataOnly="0" labelOnly="1" fieldPosition="0">
        <references count="1">
          <reference field="1" count="0"/>
        </references>
      </pivotArea>
    </format>
    <format dxfId="598">
      <pivotArea dataOnly="0" labelOnly="1" grandCol="1" outline="0" fieldPosition="0"/>
    </format>
  </formats>
  <chartFormats count="16">
    <chartFormat chart="4" format="40" series="1">
      <pivotArea type="data" outline="0" fieldPosition="0">
        <references count="2">
          <reference field="4294967294" count="1" selected="0">
            <x v="0"/>
          </reference>
          <reference field="1" count="1" selected="0">
            <x v="0"/>
          </reference>
        </references>
      </pivotArea>
    </chartFormat>
    <chartFormat chart="4" format="41">
      <pivotArea type="data" outline="0" fieldPosition="0">
        <references count="3">
          <reference field="4294967294" count="1" selected="0">
            <x v="0"/>
          </reference>
          <reference field="0" count="1" selected="0">
            <x v="0"/>
          </reference>
          <reference field="1" count="1" selected="0">
            <x v="0"/>
          </reference>
        </references>
      </pivotArea>
    </chartFormat>
    <chartFormat chart="4" format="42" series="1">
      <pivotArea type="data" outline="0" fieldPosition="0">
        <references count="2">
          <reference field="4294967294" count="1" selected="0">
            <x v="0"/>
          </reference>
          <reference field="1" count="1" selected="0">
            <x v="1"/>
          </reference>
        </references>
      </pivotArea>
    </chartFormat>
    <chartFormat chart="4" format="43">
      <pivotArea type="data" outline="0" fieldPosition="0">
        <references count="3">
          <reference field="4294967294" count="1" selected="0">
            <x v="0"/>
          </reference>
          <reference field="0" count="1" selected="0">
            <x v="0"/>
          </reference>
          <reference field="1" count="1" selected="0">
            <x v="1"/>
          </reference>
        </references>
      </pivotArea>
    </chartFormat>
    <chartFormat chart="4" format="44" series="1">
      <pivotArea type="data" outline="0" fieldPosition="0">
        <references count="2">
          <reference field="4294967294" count="1" selected="0">
            <x v="0"/>
          </reference>
          <reference field="1" count="1" selected="0">
            <x v="2"/>
          </reference>
        </references>
      </pivotArea>
    </chartFormat>
    <chartFormat chart="4" format="45">
      <pivotArea type="data" outline="0" fieldPosition="0">
        <references count="3">
          <reference field="4294967294" count="1" selected="0">
            <x v="0"/>
          </reference>
          <reference field="0" count="1" selected="0">
            <x v="0"/>
          </reference>
          <reference field="1" count="1" selected="0">
            <x v="2"/>
          </reference>
        </references>
      </pivotArea>
    </chartFormat>
    <chartFormat chart="4" format="46" series="1">
      <pivotArea type="data" outline="0" fieldPosition="0">
        <references count="2">
          <reference field="4294967294" count="1" selected="0">
            <x v="0"/>
          </reference>
          <reference field="1" count="1" selected="0">
            <x v="3"/>
          </reference>
        </references>
      </pivotArea>
    </chartFormat>
    <chartFormat chart="4" format="47" series="1">
      <pivotArea type="data" outline="0" fieldPosition="0">
        <references count="2">
          <reference field="4294967294" count="1" selected="0">
            <x v="0"/>
          </reference>
          <reference field="1" count="1" selected="0">
            <x v="4"/>
          </reference>
        </references>
      </pivotArea>
    </chartFormat>
    <chartFormat chart="4" format="48">
      <pivotArea type="data" outline="0" fieldPosition="0">
        <references count="3">
          <reference field="4294967294" count="1" selected="0">
            <x v="0"/>
          </reference>
          <reference field="0" count="1" selected="0">
            <x v="0"/>
          </reference>
          <reference field="1" count="1" selected="0">
            <x v="4"/>
          </reference>
        </references>
      </pivotArea>
    </chartFormat>
    <chartFormat chart="4" format="49" series="1">
      <pivotArea type="data" outline="0" fieldPosition="0">
        <references count="2">
          <reference field="4294967294" count="1" selected="0">
            <x v="0"/>
          </reference>
          <reference field="1" count="1" selected="0">
            <x v="5"/>
          </reference>
        </references>
      </pivotArea>
    </chartFormat>
    <chartFormat chart="4" format="50">
      <pivotArea type="data" outline="0" fieldPosition="0">
        <references count="3">
          <reference field="4294967294" count="1" selected="0">
            <x v="0"/>
          </reference>
          <reference field="0" count="1" selected="0">
            <x v="0"/>
          </reference>
          <reference field="1" count="1" selected="0">
            <x v="5"/>
          </reference>
        </references>
      </pivotArea>
    </chartFormat>
    <chartFormat chart="4" format="51" series="1">
      <pivotArea type="data" outline="0" fieldPosition="0">
        <references count="2">
          <reference field="4294967294" count="1" selected="0">
            <x v="0"/>
          </reference>
          <reference field="1" count="1" selected="0">
            <x v="6"/>
          </reference>
        </references>
      </pivotArea>
    </chartFormat>
    <chartFormat chart="4" format="52">
      <pivotArea type="data" outline="0" fieldPosition="0">
        <references count="3">
          <reference field="4294967294" count="1" selected="0">
            <x v="0"/>
          </reference>
          <reference field="0" count="1" selected="0">
            <x v="0"/>
          </reference>
          <reference field="1" count="1" selected="0">
            <x v="6"/>
          </reference>
        </references>
      </pivotArea>
    </chartFormat>
    <chartFormat chart="4" format="53">
      <pivotArea type="data" outline="0" fieldPosition="0">
        <references count="3">
          <reference field="4294967294" count="1" selected="0">
            <x v="0"/>
          </reference>
          <reference field="0" count="1" selected="0">
            <x v="0"/>
          </reference>
          <reference field="1" count="1" selected="0">
            <x v="3"/>
          </reference>
        </references>
      </pivotArea>
    </chartFormat>
    <chartFormat chart="4" format="54">
      <pivotArea type="data" outline="0" fieldPosition="0">
        <references count="3">
          <reference field="4294967294" count="1" selected="0">
            <x v="0"/>
          </reference>
          <reference field="0" count="1" selected="0">
            <x v="1"/>
          </reference>
          <reference field="1" count="1" selected="0">
            <x v="0"/>
          </reference>
        </references>
      </pivotArea>
    </chartFormat>
    <chartFormat chart="4" format="55">
      <pivotArea type="data" outline="0" fieldPosition="0">
        <references count="3">
          <reference field="4294967294" count="1" selected="0">
            <x v="0"/>
          </reference>
          <reference field="0"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278E336-A84A-4CE4-8A39-923750E50422}" name="tỉ lệ- dài" cacheId="13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78:B87" firstHeaderRow="1" firstDataRow="1" firstDataCol="1" rowPageCount="2" colPageCount="1"/>
  <pivotFields count="4">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xis="axisPage" allDrilled="1" subtotalTop="0" showAll="0" dataSourceSort="1" defaultSubtotal="0" defaultAttributeDrillState="1"/>
    <pivotField axis="axisPage" allDrilled="1" subtotalTop="0" showAll="0" dataSourceSort="1" defaultSubtotal="0" defaultAttributeDrillState="1"/>
  </pivotFields>
  <rowFields count="1">
    <field x="1"/>
  </rowFields>
  <rowItems count="9">
    <i>
      <x/>
    </i>
    <i>
      <x v="1"/>
    </i>
    <i>
      <x v="2"/>
    </i>
    <i>
      <x v="3"/>
    </i>
    <i>
      <x v="4"/>
    </i>
    <i>
      <x v="5"/>
    </i>
    <i>
      <x v="6"/>
    </i>
    <i>
      <x v="7"/>
    </i>
    <i t="grand">
      <x/>
    </i>
  </rowItems>
  <colItems count="1">
    <i/>
  </colItems>
  <pageFields count="2">
    <pageField fld="3" hier="0" name="[Table_Raw_Data___dài].[Tháng].[All]" cap="All"/>
    <pageField fld="2" hier="1" name="[Table_Raw_Data___dài].[Chi nhánh].[All]" cap="All"/>
  </pageFields>
  <dataFields count="1">
    <dataField name="Sum of Chi Phí- Dài" fld="0" showDataAs="percentOfCol" baseField="0" baseItem="0" numFmtId="10"/>
  </dataFields>
  <formats count="15">
    <format dxfId="498">
      <pivotArea type="all" dataOnly="0" outline="0" fieldPosition="0"/>
    </format>
    <format dxfId="497">
      <pivotArea outline="0" collapsedLevelsAreSubtotals="1" fieldPosition="0"/>
    </format>
    <format dxfId="496">
      <pivotArea type="origin" dataOnly="0" labelOnly="1" outline="0" fieldPosition="0"/>
    </format>
    <format dxfId="495">
      <pivotArea type="topRight" dataOnly="0" labelOnly="1" outline="0" fieldPosition="0"/>
    </format>
    <format dxfId="494">
      <pivotArea dataOnly="0" labelOnly="1" grandRow="1" outline="0" fieldPosition="0"/>
    </format>
    <format dxfId="493">
      <pivotArea dataOnly="0" labelOnly="1" grandCol="1" outline="0" fieldPosition="0"/>
    </format>
    <format dxfId="492">
      <pivotArea collapsedLevelsAreSubtotals="1" fieldPosition="0">
        <references count="1">
          <reference field="1" count="0"/>
        </references>
      </pivotArea>
    </format>
    <format dxfId="491">
      <pivotArea grandRow="1" outline="0" collapsedLevelsAreSubtotals="1" fieldPosition="0"/>
    </format>
    <format dxfId="490">
      <pivotArea type="all" dataOnly="0" outline="0" fieldPosition="0"/>
    </format>
    <format dxfId="489">
      <pivotArea outline="0" collapsedLevelsAreSubtotals="1" fieldPosition="0"/>
    </format>
    <format dxfId="488">
      <pivotArea field="1" type="button" dataOnly="0" labelOnly="1" outline="0" axis="axisRow" fieldPosition="0"/>
    </format>
    <format dxfId="487">
      <pivotArea dataOnly="0" labelOnly="1" fieldPosition="0">
        <references count="1">
          <reference field="1" count="0"/>
        </references>
      </pivotArea>
    </format>
    <format dxfId="486">
      <pivotArea dataOnly="0" labelOnly="1" grandRow="1" outline="0" fieldPosition="0"/>
    </format>
    <format dxfId="485">
      <pivotArea dataOnly="0" labelOnly="1" outline="0" axis="axisValues" fieldPosition="0"/>
    </format>
    <format dxfId="484">
      <pivotArea outline="0" fieldPosition="0">
        <references count="1">
          <reference field="4294967294" count="1">
            <x v="0"/>
          </reference>
        </references>
      </pivotArea>
    </format>
  </formats>
  <chartFormats count="9">
    <chartFormat chart="2" format="11" series="1">
      <pivotArea type="data" outline="0" fieldPosition="0">
        <references count="1">
          <reference field="4294967294" count="1" selected="0">
            <x v="0"/>
          </reference>
        </references>
      </pivotArea>
    </chartFormat>
    <chartFormat chart="2" format="12">
      <pivotArea type="data" outline="0" fieldPosition="0">
        <references count="2">
          <reference field="4294967294" count="1" selected="0">
            <x v="0"/>
          </reference>
          <reference field="1" count="1" selected="0">
            <x v="0"/>
          </reference>
        </references>
      </pivotArea>
    </chartFormat>
    <chartFormat chart="2" format="13">
      <pivotArea type="data" outline="0" fieldPosition="0">
        <references count="2">
          <reference field="4294967294" count="1" selected="0">
            <x v="0"/>
          </reference>
          <reference field="1" count="1" selected="0">
            <x v="1"/>
          </reference>
        </references>
      </pivotArea>
    </chartFormat>
    <chartFormat chart="2" format="14">
      <pivotArea type="data" outline="0" fieldPosition="0">
        <references count="2">
          <reference field="4294967294" count="1" selected="0">
            <x v="0"/>
          </reference>
          <reference field="1" count="1" selected="0">
            <x v="2"/>
          </reference>
        </references>
      </pivotArea>
    </chartFormat>
    <chartFormat chart="2" format="15">
      <pivotArea type="data" outline="0" fieldPosition="0">
        <references count="2">
          <reference field="4294967294" count="1" selected="0">
            <x v="0"/>
          </reference>
          <reference field="1" count="1" selected="0">
            <x v="3"/>
          </reference>
        </references>
      </pivotArea>
    </chartFormat>
    <chartFormat chart="2" format="16">
      <pivotArea type="data" outline="0" fieldPosition="0">
        <references count="2">
          <reference field="4294967294" count="1" selected="0">
            <x v="0"/>
          </reference>
          <reference field="1" count="1" selected="0">
            <x v="4"/>
          </reference>
        </references>
      </pivotArea>
    </chartFormat>
    <chartFormat chart="2" format="17">
      <pivotArea type="data" outline="0" fieldPosition="0">
        <references count="2">
          <reference field="4294967294" count="1" selected="0">
            <x v="0"/>
          </reference>
          <reference field="1" count="1" selected="0">
            <x v="5"/>
          </reference>
        </references>
      </pivotArea>
    </chartFormat>
    <chartFormat chart="2" format="18">
      <pivotArea type="data" outline="0" fieldPosition="0">
        <references count="2">
          <reference field="4294967294" count="1" selected="0">
            <x v="0"/>
          </reference>
          <reference field="1" count="1" selected="0">
            <x v="6"/>
          </reference>
        </references>
      </pivotArea>
    </chartFormat>
    <chartFormat chart="2" format="19">
      <pivotArea type="data" outline="0" fieldPosition="0">
        <references count="2">
          <reference field="4294967294" count="1" selected="0">
            <x v="0"/>
          </reference>
          <reference field="1" count="1" selected="0">
            <x v="7"/>
          </reference>
        </references>
      </pivotArea>
    </chartFormat>
  </chartFormats>
  <pivotHierarchies count="42">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dài">
        <x15:activeTabTopLevelEntity name="[Table_Raw_Data___dà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219FF6-8551-4351-B6ED-3705431241F1}" name="KPI- dài" cacheId="13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50:E59" firstHeaderRow="0" firstDataRow="1" firstDataCol="1"/>
  <pivotFields count="7">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9">
    <i>
      <x/>
    </i>
    <i>
      <x v="1"/>
    </i>
    <i>
      <x v="2"/>
    </i>
    <i>
      <x v="3"/>
    </i>
    <i>
      <x v="4"/>
    </i>
    <i>
      <x v="5"/>
    </i>
    <i>
      <x v="6"/>
    </i>
    <i>
      <x v="7"/>
    </i>
    <i t="grand">
      <x/>
    </i>
  </rowItems>
  <colFields count="1">
    <field x="-2"/>
  </colFields>
  <colItems count="4">
    <i>
      <x/>
    </i>
    <i i="1">
      <x v="1"/>
    </i>
    <i i="2">
      <x v="2"/>
    </i>
    <i i="3">
      <x v="3"/>
    </i>
  </colItems>
  <dataFields count="4">
    <dataField name="Average of KPI-dài" fld="1" subtotal="average" baseField="0" baseItem="0" numFmtId="165"/>
    <dataField name="Excellent" fld="2" subtotal="count" baseField="0" baseItem="0"/>
    <dataField fld="3" subtotal="count" baseField="0" baseItem="0"/>
    <dataField fld="4" subtotal="count" baseField="0" baseItem="0"/>
  </dataFields>
  <formats count="13">
    <format dxfId="511">
      <pivotArea type="all" dataOnly="0" outline="0" fieldPosition="0"/>
    </format>
    <format dxfId="510">
      <pivotArea outline="0" collapsedLevelsAreSubtotals="1" fieldPosition="0"/>
    </format>
    <format dxfId="509">
      <pivotArea type="origin" dataOnly="0" labelOnly="1" outline="0" fieldPosition="0"/>
    </format>
    <format dxfId="508">
      <pivotArea type="topRight" dataOnly="0" labelOnly="1" outline="0" fieldPosition="0"/>
    </format>
    <format dxfId="507">
      <pivotArea dataOnly="0" labelOnly="1" grandRow="1" outline="0" fieldPosition="0"/>
    </format>
    <format dxfId="506">
      <pivotArea dataOnly="0" labelOnly="1" grandCol="1" outline="0" fieldPosition="0"/>
    </format>
    <format dxfId="505">
      <pivotArea type="all" dataOnly="0" outline="0" fieldPosition="0"/>
    </format>
    <format dxfId="504">
      <pivotArea outline="0" collapsedLevelsAreSubtotals="1" fieldPosition="0"/>
    </format>
    <format dxfId="503">
      <pivotArea type="origin" dataOnly="0" labelOnly="1" outline="0" fieldPosition="0"/>
    </format>
    <format dxfId="502">
      <pivotArea type="topRight" dataOnly="0" labelOnly="1" outline="0" fieldPosition="0"/>
    </format>
    <format dxfId="501">
      <pivotArea dataOnly="0" labelOnly="1" grandRow="1" outline="0" fieldPosition="0"/>
    </format>
    <format dxfId="500">
      <pivotArea dataOnly="0" labelOnly="1" grandCol="1" outline="0" fieldPosition="0"/>
    </format>
    <format dxfId="499">
      <pivotArea outline="0" collapsedLevelsAreSubtotals="1" fieldPosition="0"/>
    </format>
  </formats>
  <chartFormats count="13">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2" format="11" series="1">
      <pivotArea type="data" outline="0" fieldPosition="0">
        <references count="1">
          <reference field="4294967294" count="1" selected="0">
            <x v="3"/>
          </reference>
        </references>
      </pivotArea>
    </chartFormat>
    <chartFormat chart="2" format="12">
      <pivotArea type="data" outline="0" fieldPosition="0">
        <references count="2">
          <reference field="4294967294" count="1" selected="0">
            <x v="0"/>
          </reference>
          <reference field="0" count="1" selected="0">
            <x v="0"/>
          </reference>
        </references>
      </pivotArea>
    </chartFormat>
    <chartFormat chart="2" format="13">
      <pivotArea type="data" outline="0" fieldPosition="0">
        <references count="2">
          <reference field="4294967294" count="1" selected="0">
            <x v="0"/>
          </reference>
          <reference field="0" count="1" selected="0">
            <x v="1"/>
          </reference>
        </references>
      </pivotArea>
    </chartFormat>
    <chartFormat chart="2" format="14">
      <pivotArea type="data" outline="0" fieldPosition="0">
        <references count="2">
          <reference field="4294967294" count="1" selected="0">
            <x v="0"/>
          </reference>
          <reference field="0" count="1" selected="0">
            <x v="2"/>
          </reference>
        </references>
      </pivotArea>
    </chartFormat>
    <chartFormat chart="2" format="15">
      <pivotArea type="data" outline="0" fieldPosition="0">
        <references count="2">
          <reference field="4294967294" count="1" selected="0">
            <x v="0"/>
          </reference>
          <reference field="0" count="1" selected="0">
            <x v="3"/>
          </reference>
        </references>
      </pivotArea>
    </chartFormat>
    <chartFormat chart="2" format="16">
      <pivotArea type="data" outline="0" fieldPosition="0">
        <references count="2">
          <reference field="4294967294" count="1" selected="0">
            <x v="0"/>
          </reference>
          <reference field="0" count="1" selected="0">
            <x v="4"/>
          </reference>
        </references>
      </pivotArea>
    </chartFormat>
    <chartFormat chart="2" format="17">
      <pivotArea type="data" outline="0" fieldPosition="0">
        <references count="2">
          <reference field="4294967294" count="1" selected="0">
            <x v="0"/>
          </reference>
          <reference field="0" count="1" selected="0">
            <x v="5"/>
          </reference>
        </references>
      </pivotArea>
    </chartFormat>
    <chartFormat chart="2" format="18">
      <pivotArea type="data" outline="0" fieldPosition="0">
        <references count="2">
          <reference field="4294967294" count="1" selected="0">
            <x v="0"/>
          </reference>
          <reference field="0" count="1" selected="0">
            <x v="6"/>
          </reference>
        </references>
      </pivotArea>
    </chartFormat>
    <chartFormat chart="2" format="19">
      <pivotArea type="data" outline="0" fieldPosition="0">
        <references count="2">
          <reference field="4294967294" count="1" selected="0">
            <x v="0"/>
          </reference>
          <reference field="0" count="1" selected="0">
            <x v="7"/>
          </reference>
        </references>
      </pivotArea>
    </chartFormat>
    <chartFormat chart="2" format="20">
      <pivotArea type="data" outline="0" fieldPosition="0">
        <references count="2">
          <reference field="4294967294" count="1" selected="0">
            <x v="3"/>
          </reference>
          <reference field="0" count="1" selected="0">
            <x v="1"/>
          </reference>
        </references>
      </pivotArea>
    </chartFormat>
  </chartFormats>
  <pivotHierarchies count="42">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Excellen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KPI-dài"/>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Raw_Data___dài]"/>
        <x15:activeTabTopLevelEntity name="[Table_Raw_Data__ngắ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D8FCE29-93AE-4535-9C17-189C543FC639}" name="static - dài" cacheId="1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6:E33" firstHeaderRow="1" firstDataRow="2" firstDataCol="1"/>
  <pivotFields count="3">
    <pivotField dataField="1" subtotalTop="0" showAll="0" defaultSubtotal="0"/>
    <pivotField axis="axisCol" allDrilled="1" showAll="0" dataSourceSort="1" defaultAttributeDrillState="1">
      <items count="4">
        <item x="0"/>
        <item x="1"/>
        <item x="2"/>
        <item t="default"/>
      </items>
    </pivotField>
    <pivotField axis="axisRow" allDrilled="1" showAll="0" dataSourceSort="1" defaultAttributeDrillState="1">
      <items count="6">
        <item x="0"/>
        <item x="1"/>
        <item x="2"/>
        <item x="3"/>
        <item x="4"/>
        <item t="default"/>
      </items>
    </pivotField>
  </pivotFields>
  <rowFields count="1">
    <field x="2"/>
  </rowFields>
  <rowItems count="6">
    <i>
      <x/>
    </i>
    <i>
      <x v="1"/>
    </i>
    <i>
      <x v="2"/>
    </i>
    <i>
      <x v="3"/>
    </i>
    <i>
      <x v="4"/>
    </i>
    <i t="grand">
      <x/>
    </i>
  </rowItems>
  <colFields count="1">
    <field x="1"/>
  </colFields>
  <colItems count="4">
    <i>
      <x/>
    </i>
    <i>
      <x v="1"/>
    </i>
    <i>
      <x v="2"/>
    </i>
    <i t="grand">
      <x/>
    </i>
  </colItems>
  <dataFields count="1">
    <dataField name="Sum of Chi Phí- Dài" fld="0" baseField="0" baseItem="0"/>
  </dataFields>
  <formats count="10">
    <format dxfId="521">
      <pivotArea type="all" dataOnly="0" outline="0" fieldPosition="0"/>
    </format>
    <format dxfId="520">
      <pivotArea outline="0" collapsedLevelsAreSubtotals="1" fieldPosition="0"/>
    </format>
    <format dxfId="519">
      <pivotArea type="origin" dataOnly="0" labelOnly="1" outline="0" fieldPosition="0"/>
    </format>
    <format dxfId="518">
      <pivotArea field="1" type="button" dataOnly="0" labelOnly="1" outline="0" axis="axisCol" fieldPosition="0"/>
    </format>
    <format dxfId="517">
      <pivotArea type="topRight" dataOnly="0" labelOnly="1" outline="0" fieldPosition="0"/>
    </format>
    <format dxfId="516">
      <pivotArea field="2" type="button" dataOnly="0" labelOnly="1" outline="0" axis="axisRow" fieldPosition="0"/>
    </format>
    <format dxfId="515">
      <pivotArea dataOnly="0" labelOnly="1" fieldPosition="0">
        <references count="1">
          <reference field="2" count="0"/>
        </references>
      </pivotArea>
    </format>
    <format dxfId="514">
      <pivotArea dataOnly="0" labelOnly="1" grandRow="1" outline="0" fieldPosition="0"/>
    </format>
    <format dxfId="513">
      <pivotArea dataOnly="0" labelOnly="1" fieldPosition="0">
        <references count="1">
          <reference field="1" count="0"/>
        </references>
      </pivotArea>
    </format>
    <format dxfId="512">
      <pivotArea dataOnly="0" labelOnly="1" grandCol="1" outline="0"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dài">
        <x15:activeTabTopLevelEntity name="[Table_Raw_Data___dà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D7FF6D4-4A4C-47DC-975C-9EF9AE0ADE75}" name="chi phí- dài"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E10" firstHeaderRow="1" firstDataRow="2" firstDataCol="1"/>
  <pivotFields count="3">
    <pivotField dataField="1" subtotalTop="0" showAll="0" defaultSubtotal="0"/>
    <pivotField axis="axisCol" allDrilled="1" showAll="0" dataSourceSort="1" defaultAttributeDrillState="1">
      <items count="4">
        <item x="0"/>
        <item x="1"/>
        <item x="2"/>
        <item t="default"/>
      </items>
    </pivotField>
    <pivotField axis="axisRow" allDrilled="1" showAll="0" dataSourceSort="1" defaultAttributeDrillState="1">
      <items count="6">
        <item x="0"/>
        <item x="1"/>
        <item x="2"/>
        <item x="3"/>
        <item x="4"/>
        <item t="default"/>
      </items>
    </pivotField>
  </pivotFields>
  <rowFields count="1">
    <field x="2"/>
  </rowFields>
  <rowItems count="6">
    <i>
      <x/>
    </i>
    <i>
      <x v="1"/>
    </i>
    <i>
      <x v="2"/>
    </i>
    <i>
      <x v="3"/>
    </i>
    <i>
      <x v="4"/>
    </i>
    <i t="grand">
      <x/>
    </i>
  </rowItems>
  <colFields count="1">
    <field x="1"/>
  </colFields>
  <colItems count="4">
    <i>
      <x/>
    </i>
    <i>
      <x v="1"/>
    </i>
    <i>
      <x v="2"/>
    </i>
    <i t="grand">
      <x/>
    </i>
  </colItems>
  <dataFields count="1">
    <dataField name="Sum of Chi Phí- Dài" fld="0" baseField="0" baseItem="0" numFmtId="43"/>
  </dataFields>
  <formats count="20">
    <format dxfId="541">
      <pivotArea type="all" dataOnly="0" outline="0" fieldPosition="0"/>
    </format>
    <format dxfId="540">
      <pivotArea outline="0" collapsedLevelsAreSubtotals="1" fieldPosition="0"/>
    </format>
    <format dxfId="539">
      <pivotArea type="origin" dataOnly="0" labelOnly="1" outline="0" fieldPosition="0"/>
    </format>
    <format dxfId="538">
      <pivotArea field="1" type="button" dataOnly="0" labelOnly="1" outline="0" axis="axisCol" fieldPosition="0"/>
    </format>
    <format dxfId="537">
      <pivotArea type="topRight" dataOnly="0" labelOnly="1" outline="0" fieldPosition="0"/>
    </format>
    <format dxfId="536">
      <pivotArea field="2" type="button" dataOnly="0" labelOnly="1" outline="0" axis="axisRow" fieldPosition="0"/>
    </format>
    <format dxfId="535">
      <pivotArea dataOnly="0" labelOnly="1" fieldPosition="0">
        <references count="1">
          <reference field="2" count="0"/>
        </references>
      </pivotArea>
    </format>
    <format dxfId="534">
      <pivotArea dataOnly="0" labelOnly="1" grandRow="1" outline="0" fieldPosition="0"/>
    </format>
    <format dxfId="533">
      <pivotArea dataOnly="0" labelOnly="1" fieldPosition="0">
        <references count="1">
          <reference field="1" count="0"/>
        </references>
      </pivotArea>
    </format>
    <format dxfId="532">
      <pivotArea dataOnly="0" labelOnly="1" grandCol="1" outline="0" fieldPosition="0"/>
    </format>
    <format dxfId="531">
      <pivotArea type="all" dataOnly="0" outline="0" fieldPosition="0"/>
    </format>
    <format dxfId="530">
      <pivotArea outline="0" collapsedLevelsAreSubtotals="1" fieldPosition="0"/>
    </format>
    <format dxfId="529">
      <pivotArea type="origin" dataOnly="0" labelOnly="1" outline="0" fieldPosition="0"/>
    </format>
    <format dxfId="528">
      <pivotArea field="1" type="button" dataOnly="0" labelOnly="1" outline="0" axis="axisCol" fieldPosition="0"/>
    </format>
    <format dxfId="527">
      <pivotArea type="topRight" dataOnly="0" labelOnly="1" outline="0" fieldPosition="0"/>
    </format>
    <format dxfId="526">
      <pivotArea field="2" type="button" dataOnly="0" labelOnly="1" outline="0" axis="axisRow" fieldPosition="0"/>
    </format>
    <format dxfId="525">
      <pivotArea dataOnly="0" labelOnly="1" fieldPosition="0">
        <references count="1">
          <reference field="2" count="0"/>
        </references>
      </pivotArea>
    </format>
    <format dxfId="524">
      <pivotArea dataOnly="0" labelOnly="1" grandRow="1" outline="0" fieldPosition="0"/>
    </format>
    <format dxfId="523">
      <pivotArea dataOnly="0" labelOnly="1" fieldPosition="0">
        <references count="1">
          <reference field="1" count="0"/>
        </references>
      </pivotArea>
    </format>
    <format dxfId="522">
      <pivotArea dataOnly="0" labelOnly="1" grandCol="1" outline="0" fieldPosition="0"/>
    </format>
  </formats>
  <chartFormats count="11">
    <chartFormat chart="2" format="21" series="1">
      <pivotArea type="data" outline="0" fieldPosition="0">
        <references count="2">
          <reference field="4294967294" count="1" selected="0">
            <x v="0"/>
          </reference>
          <reference field="1" count="1" selected="0">
            <x v="0"/>
          </reference>
        </references>
      </pivotArea>
    </chartFormat>
    <chartFormat chart="2" format="22">
      <pivotArea type="data" outline="0" fieldPosition="0">
        <references count="3">
          <reference field="4294967294" count="1" selected="0">
            <x v="0"/>
          </reference>
          <reference field="1" count="1" selected="0">
            <x v="0"/>
          </reference>
          <reference field="2" count="1" selected="0">
            <x v="1"/>
          </reference>
        </references>
      </pivotArea>
    </chartFormat>
    <chartFormat chart="2" format="23">
      <pivotArea type="data" outline="0" fieldPosition="0">
        <references count="3">
          <reference field="4294967294" count="1" selected="0">
            <x v="0"/>
          </reference>
          <reference field="1" count="1" selected="0">
            <x v="0"/>
          </reference>
          <reference field="2" count="1" selected="0">
            <x v="2"/>
          </reference>
        </references>
      </pivotArea>
    </chartFormat>
    <chartFormat chart="2" format="24" series="1">
      <pivotArea type="data" outline="0" fieldPosition="0">
        <references count="2">
          <reference field="4294967294" count="1" selected="0">
            <x v="0"/>
          </reference>
          <reference field="1" count="1" selected="0">
            <x v="1"/>
          </reference>
        </references>
      </pivotArea>
    </chartFormat>
    <chartFormat chart="2" format="25">
      <pivotArea type="data" outline="0" fieldPosition="0">
        <references count="3">
          <reference field="4294967294" count="1" selected="0">
            <x v="0"/>
          </reference>
          <reference field="1" count="1" selected="0">
            <x v="1"/>
          </reference>
          <reference field="2" count="1" selected="0">
            <x v="0"/>
          </reference>
        </references>
      </pivotArea>
    </chartFormat>
    <chartFormat chart="2" format="26">
      <pivotArea type="data" outline="0" fieldPosition="0">
        <references count="3">
          <reference field="4294967294" count="1" selected="0">
            <x v="0"/>
          </reference>
          <reference field="1" count="1" selected="0">
            <x v="1"/>
          </reference>
          <reference field="2" count="1" selected="0">
            <x v="1"/>
          </reference>
        </references>
      </pivotArea>
    </chartFormat>
    <chartFormat chart="2" format="27">
      <pivotArea type="data" outline="0" fieldPosition="0">
        <references count="3">
          <reference field="4294967294" count="1" selected="0">
            <x v="0"/>
          </reference>
          <reference field="1" count="1" selected="0">
            <x v="1"/>
          </reference>
          <reference field="2" count="1" selected="0">
            <x v="2"/>
          </reference>
        </references>
      </pivotArea>
    </chartFormat>
    <chartFormat chart="2" format="28" series="1">
      <pivotArea type="data" outline="0" fieldPosition="0">
        <references count="2">
          <reference field="4294967294" count="1" selected="0">
            <x v="0"/>
          </reference>
          <reference field="1" count="1" selected="0">
            <x v="2"/>
          </reference>
        </references>
      </pivotArea>
    </chartFormat>
    <chartFormat chart="2" format="29">
      <pivotArea type="data" outline="0" fieldPosition="0">
        <references count="3">
          <reference field="4294967294" count="1" selected="0">
            <x v="0"/>
          </reference>
          <reference field="1" count="1" selected="0">
            <x v="2"/>
          </reference>
          <reference field="2" count="1" selected="0">
            <x v="1"/>
          </reference>
        </references>
      </pivotArea>
    </chartFormat>
    <chartFormat chart="2" format="30">
      <pivotArea type="data" outline="0" fieldPosition="0">
        <references count="3">
          <reference field="4294967294" count="1" selected="0">
            <x v="0"/>
          </reference>
          <reference field="1" count="1" selected="0">
            <x v="2"/>
          </reference>
          <reference field="2" count="1" selected="0">
            <x v="2"/>
          </reference>
        </references>
      </pivotArea>
    </chartFormat>
    <chartFormat chart="2" format="31">
      <pivotArea type="data" outline="0" fieldPosition="0">
        <references count="3">
          <reference field="4294967294" count="1" selected="0">
            <x v="0"/>
          </reference>
          <reference field="1" count="1" selected="0">
            <x v="2"/>
          </reference>
          <reference field="2" count="1" selected="0">
            <x v="0"/>
          </reference>
        </references>
      </pivotArea>
    </chartFormat>
  </chartFormats>
  <pivotHierarchies count="42">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dài">
        <x15:activeTabTopLevelEntity name="[Table_Raw_Data___dà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BFCF97E-7D83-48F5-B148-BE8D09C95D2C}" name="chi phí - LTL" cacheId="1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24:G34" firstHeaderRow="1" firstDataRow="2" firstDataCol="1"/>
  <pivotFields count="3">
    <pivotField axis="axisCol"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s>
  <rowFields count="1">
    <field x="1"/>
  </rowFields>
  <rowItems count="9">
    <i>
      <x/>
    </i>
    <i>
      <x v="1"/>
    </i>
    <i>
      <x v="2"/>
    </i>
    <i>
      <x v="3"/>
    </i>
    <i>
      <x v="4"/>
    </i>
    <i>
      <x v="5"/>
    </i>
    <i>
      <x v="6"/>
    </i>
    <i>
      <x v="7"/>
    </i>
    <i t="grand">
      <x/>
    </i>
  </rowItems>
  <colFields count="1">
    <field x="0"/>
  </colFields>
  <colItems count="6">
    <i>
      <x/>
    </i>
    <i>
      <x v="1"/>
    </i>
    <i>
      <x v="2"/>
    </i>
    <i>
      <x v="3"/>
    </i>
    <i>
      <x v="4"/>
    </i>
    <i t="grand">
      <x/>
    </i>
  </colItems>
  <dataFields count="1">
    <dataField name="Sum of Chi Phí - LTL" fld="2" baseField="0" baseItem="0" numFmtId="43"/>
  </dataFields>
  <formats count="27">
    <format dxfId="429">
      <pivotArea type="all" dataOnly="0" outline="0" fieldPosition="0"/>
    </format>
    <format dxfId="428">
      <pivotArea outline="0" collapsedLevelsAreSubtotals="1" fieldPosition="0"/>
    </format>
    <format dxfId="427">
      <pivotArea type="origin" dataOnly="0" labelOnly="1" outline="0" fieldPosition="0"/>
    </format>
    <format dxfId="426">
      <pivotArea field="1" type="button" dataOnly="0" labelOnly="1" outline="0" axis="axisRow" fieldPosition="0"/>
    </format>
    <format dxfId="425">
      <pivotArea type="topRight" dataOnly="0" labelOnly="1" outline="0" fieldPosition="0"/>
    </format>
    <format dxfId="424">
      <pivotArea field="0" type="button" dataOnly="0" labelOnly="1" outline="0" axis="axisCol" fieldPosition="0"/>
    </format>
    <format dxfId="423">
      <pivotArea dataOnly="0" labelOnly="1" fieldPosition="0">
        <references count="1">
          <reference field="0" count="0"/>
        </references>
      </pivotArea>
    </format>
    <format dxfId="422">
      <pivotArea dataOnly="0" labelOnly="1" grandRow="1" outline="0" fieldPosition="0"/>
    </format>
    <format dxfId="421">
      <pivotArea dataOnly="0" labelOnly="1" fieldPosition="0">
        <references count="1">
          <reference field="1" count="0"/>
        </references>
      </pivotArea>
    </format>
    <format dxfId="420">
      <pivotArea dataOnly="0" labelOnly="1" grandCol="1" outline="0" fieldPosition="0"/>
    </format>
    <format dxfId="419">
      <pivotArea type="all" dataOnly="0" outline="0" fieldPosition="0"/>
    </format>
    <format dxfId="418">
      <pivotArea outline="0" collapsedLevelsAreSubtotals="1" fieldPosition="0"/>
    </format>
    <format dxfId="417">
      <pivotArea outline="0" collapsedLevelsAreSubtotals="1" fieldPosition="0"/>
    </format>
    <format dxfId="416">
      <pivotArea type="all" dataOnly="0" outline="0" fieldPosition="0"/>
    </format>
    <format dxfId="415">
      <pivotArea outline="0" collapsedLevelsAreSubtotals="1" fieldPosition="0"/>
    </format>
    <format dxfId="414">
      <pivotArea type="origin" dataOnly="0" labelOnly="1" outline="0" fieldPosition="0"/>
    </format>
    <format dxfId="413">
      <pivotArea field="0" type="button" dataOnly="0" labelOnly="1" outline="0" axis="axisCol" fieldPosition="0"/>
    </format>
    <format dxfId="412">
      <pivotArea type="topRight" dataOnly="0" labelOnly="1" outline="0" fieldPosition="0"/>
    </format>
    <format dxfId="411">
      <pivotArea field="1" type="button" dataOnly="0" labelOnly="1" outline="0" axis="axisRow" fieldPosition="0"/>
    </format>
    <format dxfId="410">
      <pivotArea dataOnly="0" labelOnly="1" fieldPosition="0">
        <references count="1">
          <reference field="1" count="0"/>
        </references>
      </pivotArea>
    </format>
    <format dxfId="409">
      <pivotArea dataOnly="0" labelOnly="1" grandRow="1" outline="0" fieldPosition="0"/>
    </format>
    <format dxfId="408">
      <pivotArea dataOnly="0" labelOnly="1" fieldPosition="0">
        <references count="1">
          <reference field="0" count="0"/>
        </references>
      </pivotArea>
    </format>
    <format dxfId="407">
      <pivotArea dataOnly="0" labelOnly="1" grandCol="1" outline="0" fieldPosition="0"/>
    </format>
    <format dxfId="406">
      <pivotArea collapsedLevelsAreSubtotals="1" fieldPosition="0">
        <references count="1">
          <reference field="1" count="0"/>
        </references>
      </pivotArea>
    </format>
    <format dxfId="405">
      <pivotArea dataOnly="0" labelOnly="1" fieldPosition="0">
        <references count="1">
          <reference field="1" count="0"/>
        </references>
      </pivotArea>
    </format>
    <format dxfId="404">
      <pivotArea collapsedLevelsAreSubtotals="1" fieldPosition="0">
        <references count="1">
          <reference field="1" count="0"/>
        </references>
      </pivotArea>
    </format>
    <format dxfId="403">
      <pivotArea dataOnly="0" labelOnly="1" fieldPosition="0">
        <references count="1">
          <reference field="1" count="0"/>
        </references>
      </pivotArea>
    </format>
  </formats>
  <chartFormats count="13">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4" format="6"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0"/>
          </reference>
          <reference field="0" count="1" selected="0">
            <x v="1"/>
          </reference>
        </references>
      </pivotArea>
    </chartFormat>
    <chartFormat chart="4" format="8" series="1">
      <pivotArea type="data" outline="0" fieldPosition="0">
        <references count="2">
          <reference field="4294967294" count="1" selected="0">
            <x v="0"/>
          </reference>
          <reference field="0" count="1" selected="0">
            <x v="2"/>
          </reference>
        </references>
      </pivotArea>
    </chartFormat>
    <chartFormat chart="4" format="9" series="1">
      <pivotArea type="data" outline="0" fieldPosition="0">
        <references count="2">
          <reference field="4294967294" count="1" selected="0">
            <x v="0"/>
          </reference>
          <reference field="0" count="1" selected="0">
            <x v="3"/>
          </reference>
        </references>
      </pivotArea>
    </chartFormat>
    <chartFormat chart="4" format="10" series="1">
      <pivotArea type="data" outline="0" fieldPosition="0">
        <references count="2">
          <reference field="4294967294" count="1" selected="0">
            <x v="0"/>
          </reference>
          <reference field="0" count="1" selected="0">
            <x v="4"/>
          </reference>
        </references>
      </pivotArea>
    </chartFormat>
  </chartFormats>
  <pivotHierarchies count="42">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4" showRowHeaders="1" showColHeaders="1" showRowStripes="0" showColStripes="0" showLastColumn="1"/>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LTL">
        <x15:activeTabTopLevelEntity name="[Table_Raw_Data___LT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411B89A-2B10-4D0B-9A88-D0F066B71181}" name="STATIC - LTL" cacheId="12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
  <location ref="A6:J13" firstHeaderRow="1" firstDataRow="2" firstDataCol="1"/>
  <pivotFields count="3">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8">
        <item x="0"/>
        <item x="1"/>
        <item x="2"/>
        <item x="3"/>
        <item x="4"/>
        <item x="5"/>
        <item x="6"/>
        <item x="7"/>
      </items>
    </pivotField>
    <pivotField dataField="1" subtotalTop="0" showAll="0" defaultSubtotal="0"/>
  </pivotFields>
  <rowFields count="1">
    <field x="0"/>
  </rowFields>
  <rowItems count="6">
    <i>
      <x/>
    </i>
    <i>
      <x v="1"/>
    </i>
    <i>
      <x v="2"/>
    </i>
    <i>
      <x v="3"/>
    </i>
    <i>
      <x v="4"/>
    </i>
    <i t="grand">
      <x/>
    </i>
  </rowItems>
  <colFields count="1">
    <field x="1"/>
  </colFields>
  <colItems count="9">
    <i>
      <x/>
    </i>
    <i>
      <x v="1"/>
    </i>
    <i>
      <x v="2"/>
    </i>
    <i>
      <x v="3"/>
    </i>
    <i>
      <x v="4"/>
    </i>
    <i>
      <x v="5"/>
    </i>
    <i>
      <x v="6"/>
    </i>
    <i>
      <x v="7"/>
    </i>
    <i t="grand">
      <x/>
    </i>
  </colItems>
  <dataFields count="1">
    <dataField name="Sum of Chi Phí - LTL" fld="2" baseField="0" baseItem="0"/>
  </dataFields>
  <formats count="20">
    <format dxfId="449">
      <pivotArea type="all" dataOnly="0" outline="0" fieldPosition="0"/>
    </format>
    <format dxfId="448">
      <pivotArea outline="0" collapsedLevelsAreSubtotals="1" fieldPosition="0"/>
    </format>
    <format dxfId="447">
      <pivotArea type="origin" dataOnly="0" labelOnly="1" outline="0" fieldPosition="0"/>
    </format>
    <format dxfId="446">
      <pivotArea field="1" type="button" dataOnly="0" labelOnly="1" outline="0" axis="axisCol" fieldPosition="0"/>
    </format>
    <format dxfId="445">
      <pivotArea type="topRight" dataOnly="0" labelOnly="1" outline="0" fieldPosition="0"/>
    </format>
    <format dxfId="444">
      <pivotArea field="0" type="button" dataOnly="0" labelOnly="1" outline="0" axis="axisRow" fieldPosition="0"/>
    </format>
    <format dxfId="443">
      <pivotArea dataOnly="0" labelOnly="1" fieldPosition="0">
        <references count="1">
          <reference field="0" count="0"/>
        </references>
      </pivotArea>
    </format>
    <format dxfId="442">
      <pivotArea dataOnly="0" labelOnly="1" grandRow="1" outline="0" fieldPosition="0"/>
    </format>
    <format dxfId="441">
      <pivotArea dataOnly="0" labelOnly="1" fieldPosition="0">
        <references count="1">
          <reference field="1" count="0"/>
        </references>
      </pivotArea>
    </format>
    <format dxfId="440">
      <pivotArea dataOnly="0" labelOnly="1" grandCol="1" outline="0" fieldPosition="0"/>
    </format>
    <format dxfId="439">
      <pivotArea type="all" dataOnly="0" outline="0" fieldPosition="0"/>
    </format>
    <format dxfId="438">
      <pivotArea outline="0" collapsedLevelsAreSubtotals="1" fieldPosition="0"/>
    </format>
    <format dxfId="437">
      <pivotArea type="origin" dataOnly="0" labelOnly="1" outline="0" fieldPosition="0"/>
    </format>
    <format dxfId="436">
      <pivotArea field="1" type="button" dataOnly="0" labelOnly="1" outline="0" axis="axisCol" fieldPosition="0"/>
    </format>
    <format dxfId="435">
      <pivotArea type="topRight" dataOnly="0" labelOnly="1" outline="0" fieldPosition="0"/>
    </format>
    <format dxfId="434">
      <pivotArea field="0" type="button" dataOnly="0" labelOnly="1" outline="0" axis="axisRow" fieldPosition="0"/>
    </format>
    <format dxfId="433">
      <pivotArea dataOnly="0" labelOnly="1" fieldPosition="0">
        <references count="1">
          <reference field="0" count="0"/>
        </references>
      </pivotArea>
    </format>
    <format dxfId="432">
      <pivotArea dataOnly="0" labelOnly="1" grandRow="1" outline="0" fieldPosition="0"/>
    </format>
    <format dxfId="431">
      <pivotArea dataOnly="0" labelOnly="1" fieldPosition="0">
        <references count="1">
          <reference field="1" count="0"/>
        </references>
      </pivotArea>
    </format>
    <format dxfId="430">
      <pivotArea dataOnly="0" labelOnly="1" grandCol="1" outline="0" fieldPosition="0"/>
    </format>
  </formats>
  <pivotHierarchies count="42">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LTL">
        <x15:activeTabTopLevelEntity name="[Table_Raw_Data___LT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DE4263E-18DE-453D-8363-27D74010F132}" name="RATIO - LTL" cacheId="11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67:B74" firstHeaderRow="1" firstDataRow="1" firstDataCol="1"/>
  <pivotFields count="4">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7">
    <i>
      <x/>
    </i>
    <i>
      <x v="1"/>
    </i>
    <i>
      <x v="2"/>
    </i>
    <i>
      <x v="3"/>
    </i>
    <i>
      <x v="4"/>
    </i>
    <i>
      <x v="5"/>
    </i>
    <i t="grand">
      <x/>
    </i>
  </rowItems>
  <colItems count="1">
    <i/>
  </colItems>
  <dataFields count="1">
    <dataField name="Sum of Chi Phí - LTL" fld="0" showDataAs="percentOfCol" baseField="0" baseItem="0" numFmtId="10"/>
  </dataFields>
  <formats count="17">
    <format dxfId="466">
      <pivotArea type="all" dataOnly="0" outline="0" fieldPosition="0"/>
    </format>
    <format dxfId="465">
      <pivotArea outline="0" collapsedLevelsAreSubtotals="1" fieldPosition="0"/>
    </format>
    <format dxfId="464">
      <pivotArea type="origin" dataOnly="0" labelOnly="1" outline="0" fieldPosition="0"/>
    </format>
    <format dxfId="463">
      <pivotArea type="topRight" dataOnly="0" labelOnly="1" outline="0" fieldPosition="0"/>
    </format>
    <format dxfId="462">
      <pivotArea dataOnly="0" labelOnly="1" grandRow="1" outline="0" fieldPosition="0"/>
    </format>
    <format dxfId="461">
      <pivotArea dataOnly="0" labelOnly="1" grandCol="1" outline="0" fieldPosition="0"/>
    </format>
    <format dxfId="460">
      <pivotArea type="all" dataOnly="0" outline="0" fieldPosition="0"/>
    </format>
    <format dxfId="459">
      <pivotArea type="origin" dataOnly="0" labelOnly="1" outline="0" fieldPosition="0"/>
    </format>
    <format dxfId="458">
      <pivotArea type="topRight" dataOnly="0" labelOnly="1" outline="0" fieldPosition="0"/>
    </format>
    <format dxfId="457">
      <pivotArea dataOnly="0" labelOnly="1" grandCol="1" outline="0" fieldPosition="0"/>
    </format>
    <format dxfId="456">
      <pivotArea outline="0" fieldPosition="0">
        <references count="1">
          <reference field="4294967294" count="1">
            <x v="0"/>
          </reference>
        </references>
      </pivotArea>
    </format>
    <format dxfId="455">
      <pivotArea type="all" dataOnly="0" outline="0" fieldPosition="0"/>
    </format>
    <format dxfId="454">
      <pivotArea outline="0" collapsedLevelsAreSubtotals="1" fieldPosition="0"/>
    </format>
    <format dxfId="453">
      <pivotArea field="1" type="button" dataOnly="0" labelOnly="1" outline="0" axis="axisRow" fieldPosition="0"/>
    </format>
    <format dxfId="452">
      <pivotArea dataOnly="0" labelOnly="1" fieldPosition="0">
        <references count="1">
          <reference field="1" count="0"/>
        </references>
      </pivotArea>
    </format>
    <format dxfId="451">
      <pivotArea dataOnly="0" labelOnly="1" grandRow="1" outline="0" fieldPosition="0"/>
    </format>
    <format dxfId="450">
      <pivotArea dataOnly="0" labelOnly="1" outline="0" axis="axisValues" fieldPosition="0"/>
    </format>
  </formats>
  <chartFormats count="7">
    <chartFormat chart="4" format="72" series="1">
      <pivotArea type="data" outline="0" fieldPosition="0">
        <references count="1">
          <reference field="4294967294" count="1" selected="0">
            <x v="0"/>
          </reference>
        </references>
      </pivotArea>
    </chartFormat>
    <chartFormat chart="4" format="73">
      <pivotArea type="data" outline="0" fieldPosition="0">
        <references count="2">
          <reference field="4294967294" count="1" selected="0">
            <x v="0"/>
          </reference>
          <reference field="1" count="1" selected="0">
            <x v="0"/>
          </reference>
        </references>
      </pivotArea>
    </chartFormat>
    <chartFormat chart="4" format="74">
      <pivotArea type="data" outline="0" fieldPosition="0">
        <references count="2">
          <reference field="4294967294" count="1" selected="0">
            <x v="0"/>
          </reference>
          <reference field="1" count="1" selected="0">
            <x v="1"/>
          </reference>
        </references>
      </pivotArea>
    </chartFormat>
    <chartFormat chart="4" format="75">
      <pivotArea type="data" outline="0" fieldPosition="0">
        <references count="2">
          <reference field="4294967294" count="1" selected="0">
            <x v="0"/>
          </reference>
          <reference field="1" count="1" selected="0">
            <x v="2"/>
          </reference>
        </references>
      </pivotArea>
    </chartFormat>
    <chartFormat chart="4" format="76">
      <pivotArea type="data" outline="0" fieldPosition="0">
        <references count="2">
          <reference field="4294967294" count="1" selected="0">
            <x v="0"/>
          </reference>
          <reference field="1" count="1" selected="0">
            <x v="3"/>
          </reference>
        </references>
      </pivotArea>
    </chartFormat>
    <chartFormat chart="4" format="77">
      <pivotArea type="data" outline="0" fieldPosition="0">
        <references count="2">
          <reference field="4294967294" count="1" selected="0">
            <x v="0"/>
          </reference>
          <reference field="1" count="1" selected="0">
            <x v="4"/>
          </reference>
        </references>
      </pivotArea>
    </chartFormat>
    <chartFormat chart="4" format="78">
      <pivotArea type="data" outline="0" fieldPosition="0">
        <references count="2">
          <reference field="4294967294" count="1" selected="0">
            <x v="0"/>
          </reference>
          <reference field="1" count="1" selected="0">
            <x v="5"/>
          </reference>
        </references>
      </pivotArea>
    </chartFormat>
  </chartFormats>
  <pivotHierarchies count="42">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est.xlsx!Table_Raw_Data___LTL">
        <x15:activeTabTopLevelEntity name="[Table_Raw_Data___LT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526342C-3898-4D32-8677-D04D521D3BDF}" name="KPI - LTL" cacheId="12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9">
  <location ref="A53:E60" firstHeaderRow="0" firstDataRow="1" firstDataCol="1"/>
  <pivotFields count="7">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 allDrilled="1" subtotalTop="0" showAll="0" dataSourceSort="1" defaultSubtotal="0" defaultAttributeDrillState="1"/>
  </pivotFields>
  <rowFields count="1">
    <field x="4"/>
  </rowFields>
  <rowItems count="7">
    <i>
      <x/>
    </i>
    <i>
      <x v="1"/>
    </i>
    <i>
      <x v="2"/>
    </i>
    <i>
      <x v="3"/>
    </i>
    <i>
      <x v="4"/>
    </i>
    <i>
      <x v="5"/>
    </i>
    <i t="grand">
      <x/>
    </i>
  </rowItems>
  <colFields count="1">
    <field x="-2"/>
  </colFields>
  <colItems count="4">
    <i>
      <x/>
    </i>
    <i i="1">
      <x v="1"/>
    </i>
    <i i="2">
      <x v="2"/>
    </i>
    <i i="3">
      <x v="3"/>
    </i>
  </colItems>
  <dataFields count="4">
    <dataField name="Average of KPI- LTL" fld="1" subtotal="average" baseField="0" baseItem="0"/>
    <dataField fld="0" subtotal="count" baseField="0" baseItem="0"/>
    <dataField fld="2" subtotal="count" baseField="0" baseItem="0"/>
    <dataField fld="3" subtotal="count" baseField="0" baseItem="0"/>
  </dataFields>
  <formats count="17">
    <format dxfId="483">
      <pivotArea type="all" dataOnly="0" outline="0" fieldPosition="0"/>
    </format>
    <format dxfId="482">
      <pivotArea outline="0" collapsedLevelsAreSubtotals="1" fieldPosition="0"/>
    </format>
    <format dxfId="481">
      <pivotArea type="origin" dataOnly="0" labelOnly="1" outline="0" fieldPosition="0"/>
    </format>
    <format dxfId="480">
      <pivotArea type="topRight" dataOnly="0" labelOnly="1" outline="0" fieldPosition="0"/>
    </format>
    <format dxfId="479">
      <pivotArea dataOnly="0" labelOnly="1" grandRow="1" outline="0" fieldPosition="0"/>
    </format>
    <format dxfId="478">
      <pivotArea dataOnly="0" labelOnly="1" grandCol="1" outline="0" fieldPosition="0"/>
    </format>
    <format dxfId="477">
      <pivotArea type="all" dataOnly="0" outline="0" fieldPosition="0"/>
    </format>
    <format dxfId="476">
      <pivotArea type="origin" dataOnly="0" labelOnly="1" outline="0" fieldPosition="0"/>
    </format>
    <format dxfId="475">
      <pivotArea type="topRight" dataOnly="0" labelOnly="1" outline="0" fieldPosition="0"/>
    </format>
    <format dxfId="474">
      <pivotArea dataOnly="0" labelOnly="1" grandCol="1" outline="0" fieldPosition="0"/>
    </format>
    <format dxfId="473">
      <pivotArea collapsedLevelsAreSubtotals="1" fieldPosition="0">
        <references count="1">
          <reference field="4" count="0"/>
        </references>
      </pivotArea>
    </format>
    <format dxfId="472">
      <pivotArea type="all" dataOnly="0" outline="0" fieldPosition="0"/>
    </format>
    <format dxfId="471">
      <pivotArea outline="0" collapsedLevelsAreSubtotals="1" fieldPosition="0"/>
    </format>
    <format dxfId="470">
      <pivotArea field="4" type="button" dataOnly="0" labelOnly="1" outline="0" axis="axisRow" fieldPosition="0"/>
    </format>
    <format dxfId="469">
      <pivotArea dataOnly="0" labelOnly="1" fieldPosition="0">
        <references count="1">
          <reference field="4" count="0"/>
        </references>
      </pivotArea>
    </format>
    <format dxfId="468">
      <pivotArea dataOnly="0" labelOnly="1" grandRow="1" outline="0" fieldPosition="0"/>
    </format>
    <format dxfId="467">
      <pivotArea dataOnly="0" labelOnly="1" outline="0" fieldPosition="0">
        <references count="1">
          <reference field="4294967294" count="4">
            <x v="0"/>
            <x v="1"/>
            <x v="2"/>
            <x v="3"/>
          </reference>
        </references>
      </pivotArea>
    </format>
  </formats>
  <chartFormats count="10">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2"/>
          </reference>
        </references>
      </pivotArea>
    </chartFormat>
    <chartFormat chart="4" format="11" series="1">
      <pivotArea type="data" outline="0" fieldPosition="0">
        <references count="1">
          <reference field="4294967294" count="1" selected="0">
            <x v="3"/>
          </reference>
        </references>
      </pivotArea>
    </chartFormat>
    <chartFormat chart="4" format="12">
      <pivotArea type="data" outline="0" fieldPosition="0">
        <references count="2">
          <reference field="4294967294" count="1" selected="0">
            <x v="0"/>
          </reference>
          <reference field="4" count="1" selected="0">
            <x v="1"/>
          </reference>
        </references>
      </pivotArea>
    </chartFormat>
    <chartFormat chart="4" format="13">
      <pivotArea type="data" outline="0" fieldPosition="0">
        <references count="2">
          <reference field="4294967294" count="1" selected="0">
            <x v="0"/>
          </reference>
          <reference field="4" count="1" selected="0">
            <x v="0"/>
          </reference>
        </references>
      </pivotArea>
    </chartFormat>
    <chartFormat chart="4" format="14">
      <pivotArea type="data" outline="0" fieldPosition="0">
        <references count="2">
          <reference field="4294967294" count="1" selected="0">
            <x v="0"/>
          </reference>
          <reference field="4" count="1" selected="0">
            <x v="2"/>
          </reference>
        </references>
      </pivotArea>
    </chartFormat>
    <chartFormat chart="4" format="15">
      <pivotArea type="data" outline="0" fieldPosition="0">
        <references count="2">
          <reference field="4294967294" count="1" selected="0">
            <x v="0"/>
          </reference>
          <reference field="4" count="1" selected="0">
            <x v="3"/>
          </reference>
        </references>
      </pivotArea>
    </chartFormat>
    <chartFormat chart="4" format="16">
      <pivotArea type="data" outline="0" fieldPosition="0">
        <references count="2">
          <reference field="4294967294" count="1" selected="0">
            <x v="0"/>
          </reference>
          <reference field="4" count="1" selected="0">
            <x v="4"/>
          </reference>
        </references>
      </pivotArea>
    </chartFormat>
    <chartFormat chart="4" format="17">
      <pivotArea type="data" outline="0" fieldPosition="0">
        <references count="2">
          <reference field="4294967294" count="1" selected="0">
            <x v="0"/>
          </reference>
          <reference field="4" count="1" selected="0">
            <x v="5"/>
          </reference>
        </references>
      </pivotArea>
    </chartFormat>
  </chartFormats>
  <pivotHierarchies count="42">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KPI- LTL"/>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Raw_Data___LTL]"/>
        <x15:activeTabTopLevelEntity name="[Table_Raw_Data__ngắ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9F5FF08-D548-45F4-BEA7-7BB56CD6CD72}" name="DAVF- SỐ CHUYẾN SỬ DỤNG THEO VENDOR" cacheId="15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A75:G83" firstHeaderRow="1" firstDataRow="2" firstDataCol="1" rowPageCount="1" colPageCount="1"/>
  <pivotFields count="5">
    <pivotField axis="axisPage" allDrilled="1" subtotalTop="0" showAll="0" dataSourceSort="1" defaultSubtotal="0" defaultAttributeDrillState="1">
      <items count="7">
        <item x="0"/>
        <item x="1"/>
        <item x="2"/>
        <item x="3"/>
        <item x="4"/>
        <item x="5"/>
        <item n="TOTAL DAVF" s="1" x="6"/>
      </items>
    </pivotField>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1"/>
  </rowFields>
  <rowItems count="7">
    <i>
      <x/>
    </i>
    <i>
      <x v="1"/>
    </i>
    <i>
      <x v="2"/>
    </i>
    <i>
      <x v="3"/>
    </i>
    <i>
      <x v="4"/>
    </i>
    <i>
      <x v="5"/>
    </i>
    <i t="grand">
      <x/>
    </i>
  </rowItems>
  <colFields count="1">
    <field x="2"/>
  </colFields>
  <colItems count="6">
    <i>
      <x/>
    </i>
    <i>
      <x v="1"/>
    </i>
    <i>
      <x v="2"/>
    </i>
    <i>
      <x v="3"/>
    </i>
    <i>
      <x v="4"/>
    </i>
    <i t="grand">
      <x/>
    </i>
  </colItems>
  <pageFields count="1">
    <pageField fld="0" hier="15" name="[TRANSPORTATION_COST___RAW_DATA___FACTORY].[Branch].&amp;[TOTAL]" cap="TOTAL"/>
  </pageFields>
  <dataFields count="1">
    <dataField name="Sum of Qty" fld="3" baseField="0" baseItem="0"/>
  </dataFields>
  <formats count="6">
    <format dxfId="367">
      <pivotArea type="all" dataOnly="0" outline="0" fieldPosition="0"/>
    </format>
    <format dxfId="366">
      <pivotArea outline="0" collapsedLevelsAreSubtotals="1" fieldPosition="0"/>
    </format>
    <format dxfId="365">
      <pivotArea field="0" type="button" dataOnly="0" labelOnly="1" outline="0" axis="axisPage" fieldPosition="0"/>
    </format>
    <format dxfId="364">
      <pivotArea dataOnly="0" labelOnly="1" grandRow="1" outline="0" fieldPosition="0"/>
    </format>
    <format dxfId="363">
      <pivotArea dataOnly="0" labelOnly="1" outline="0" axis="axisValues" fieldPosition="0"/>
    </format>
    <format dxfId="362">
      <pivotArea collapsedLevelsAreSubtotals="1" fieldPosition="0">
        <references count="1">
          <reference field="1" count="0"/>
        </references>
      </pivotArea>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1" showRowHeaders="1" showColHeaders="1" showRowStripes="0" showColStripes="0" showLastColumn="1"/>
  <rowHierarchiesUsage count="1">
    <rowHierarchyUsage hierarchyUsage="18"/>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 DAV Transportation Cost.xlsm!TRANSPORTATION_COST___RAW_DATA___FACTORY">
        <x15:activeTabTopLevelEntity name="[TRANSPORTATION_COST___RAW_DATA___FAC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D064F1B-F00B-4355-A162-409FD91C5CEF}" name="DAVF - SỐ TIỀN SỬ DỤNG CỦA VENDOR THEO THÁNG " cacheId="15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A59:G67" firstHeaderRow="1" firstDataRow="2" firstDataCol="1" rowPageCount="1" colPageCount="1"/>
  <pivotFields count="5">
    <pivotField axis="axisPage" allDrilled="1" subtotalTop="0" showAll="0" dataSourceSort="1" defaultSubtotal="0" defaultAttributeDrillState="1">
      <items count="7">
        <item x="0"/>
        <item x="1"/>
        <item x="2"/>
        <item x="3"/>
        <item x="4"/>
        <item x="5"/>
        <item n="TOTAL DAVF" s="1" x="6"/>
      </items>
    </pivotField>
    <pivotField axis="axisRow" allDrilled="1" subtotalTop="0" showAll="0" dataSourceSort="1" defaultSubtotal="0" defaultAttributeDrillState="1">
      <items count="6">
        <item x="0"/>
        <item x="1"/>
        <item x="2"/>
        <item x="3"/>
        <item x="4"/>
        <item x="5"/>
      </items>
    </pivotField>
    <pivotField dataField="1" subtotalTop="0" showAll="0" defaultSubtotal="0"/>
    <pivotField axis="axisCol"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7">
    <i>
      <x/>
    </i>
    <i>
      <x v="1"/>
    </i>
    <i>
      <x v="2"/>
    </i>
    <i>
      <x v="3"/>
    </i>
    <i>
      <x v="4"/>
    </i>
    <i>
      <x v="5"/>
    </i>
    <i t="grand">
      <x/>
    </i>
  </rowItems>
  <colFields count="1">
    <field x="3"/>
  </colFields>
  <colItems count="6">
    <i>
      <x/>
    </i>
    <i>
      <x v="1"/>
    </i>
    <i>
      <x v="2"/>
    </i>
    <i>
      <x v="3"/>
    </i>
    <i>
      <x v="4"/>
    </i>
    <i t="grand">
      <x/>
    </i>
  </colItems>
  <pageFields count="1">
    <pageField fld="0" hier="15" name="[TRANSPORTATION_COST___RAW_DATA___FACTORY].[Branch].&amp;[TOTAL]" cap="TOTAL"/>
  </pageFields>
  <dataFields count="1">
    <dataField name="Sum of Amount" fld="2" baseField="0" baseItem="0"/>
  </dataFields>
  <formats count="6">
    <format dxfId="373">
      <pivotArea type="all" dataOnly="0" outline="0" fieldPosition="0"/>
    </format>
    <format dxfId="372">
      <pivotArea outline="0" collapsedLevelsAreSubtotals="1" fieldPosition="0"/>
    </format>
    <format dxfId="371">
      <pivotArea field="0" type="button" dataOnly="0" labelOnly="1" outline="0" axis="axisPage" fieldPosition="0"/>
    </format>
    <format dxfId="370">
      <pivotArea dataOnly="0" labelOnly="1" grandRow="1" outline="0" fieldPosition="0"/>
    </format>
    <format dxfId="369">
      <pivotArea dataOnly="0" labelOnly="1" outline="0" axis="axisValues" fieldPosition="0"/>
    </format>
    <format dxfId="368">
      <pivotArea collapsedLevelsAreSubtotals="1" fieldPosition="0">
        <references count="1">
          <reference field="1" count="0"/>
        </references>
      </pivotArea>
    </format>
  </formats>
  <chartFormats count="17">
    <chartFormat chart="11" format="12" series="1">
      <pivotArea type="data" outline="0" fieldPosition="0">
        <references count="2">
          <reference field="4294967294" count="1" selected="0">
            <x v="0"/>
          </reference>
          <reference field="1" count="1" selected="0">
            <x v="0"/>
          </reference>
        </references>
      </pivotArea>
    </chartFormat>
    <chartFormat chart="11" format="13" series="1">
      <pivotArea type="data" outline="0" fieldPosition="0">
        <references count="2">
          <reference field="4294967294" count="1" selected="0">
            <x v="0"/>
          </reference>
          <reference field="1" count="1" selected="0">
            <x v="1"/>
          </reference>
        </references>
      </pivotArea>
    </chartFormat>
    <chartFormat chart="11" format="14" series="1">
      <pivotArea type="data" outline="0" fieldPosition="0">
        <references count="2">
          <reference field="4294967294" count="1" selected="0">
            <x v="0"/>
          </reference>
          <reference field="1" count="1" selected="0">
            <x v="2"/>
          </reference>
        </references>
      </pivotArea>
    </chartFormat>
    <chartFormat chart="11" format="15" series="1">
      <pivotArea type="data" outline="0" fieldPosition="0">
        <references count="2">
          <reference field="4294967294" count="1" selected="0">
            <x v="0"/>
          </reference>
          <reference field="1" count="1" selected="0">
            <x v="3"/>
          </reference>
        </references>
      </pivotArea>
    </chartFormat>
    <chartFormat chart="11" format="16" series="1">
      <pivotArea type="data" outline="0" fieldPosition="0">
        <references count="2">
          <reference field="4294967294" count="1" selected="0">
            <x v="0"/>
          </reference>
          <reference field="1" count="1" selected="0">
            <x v="4"/>
          </reference>
        </references>
      </pivotArea>
    </chartFormat>
    <chartFormat chart="11" format="17" series="1">
      <pivotArea type="data" outline="0" fieldPosition="0">
        <references count="2">
          <reference field="4294967294" count="1" selected="0">
            <x v="0"/>
          </reference>
          <reference field="1" count="1" selected="0">
            <x v="5"/>
          </reference>
        </references>
      </pivotArea>
    </chartFormat>
    <chartFormat chart="11" format="18" series="1">
      <pivotArea type="data" outline="0" fieldPosition="0">
        <references count="3">
          <reference field="4294967294" count="1" selected="0">
            <x v="0"/>
          </reference>
          <reference field="1" count="1" selected="0">
            <x v="1"/>
          </reference>
          <reference field="3" count="1" selected="0">
            <x v="0"/>
          </reference>
        </references>
      </pivotArea>
    </chartFormat>
    <chartFormat chart="11" format="19" series="1">
      <pivotArea type="data" outline="0" fieldPosition="0">
        <references count="3">
          <reference field="4294967294" count="1" selected="0">
            <x v="0"/>
          </reference>
          <reference field="1" count="1" selected="0">
            <x v="1"/>
          </reference>
          <reference field="3" count="1" selected="0">
            <x v="1"/>
          </reference>
        </references>
      </pivotArea>
    </chartFormat>
    <chartFormat chart="11" format="20" series="1">
      <pivotArea type="data" outline="0" fieldPosition="0">
        <references count="3">
          <reference field="4294967294" count="1" selected="0">
            <x v="0"/>
          </reference>
          <reference field="1" count="1" selected="0">
            <x v="1"/>
          </reference>
          <reference field="3" count="1" selected="0">
            <x v="2"/>
          </reference>
        </references>
      </pivotArea>
    </chartFormat>
    <chartFormat chart="11" format="21" series="1">
      <pivotArea type="data" outline="0" fieldPosition="0">
        <references count="3">
          <reference field="4294967294" count="1" selected="0">
            <x v="0"/>
          </reference>
          <reference field="1" count="1" selected="0">
            <x v="2"/>
          </reference>
          <reference field="3" count="1" selected="0">
            <x v="0"/>
          </reference>
        </references>
      </pivotArea>
    </chartFormat>
    <chartFormat chart="11" format="22" series="1">
      <pivotArea type="data" outline="0" fieldPosition="0">
        <references count="3">
          <reference field="4294967294" count="1" selected="0">
            <x v="0"/>
          </reference>
          <reference field="1" count="1" selected="0">
            <x v="2"/>
          </reference>
          <reference field="3" count="1" selected="0">
            <x v="1"/>
          </reference>
        </references>
      </pivotArea>
    </chartFormat>
    <chartFormat chart="11" format="23" series="1">
      <pivotArea type="data" outline="0" fieldPosition="0">
        <references count="3">
          <reference field="4294967294" count="1" selected="0">
            <x v="0"/>
          </reference>
          <reference field="1" count="1" selected="0">
            <x v="2"/>
          </reference>
          <reference field="3" count="1" selected="0">
            <x v="2"/>
          </reference>
        </references>
      </pivotArea>
    </chartFormat>
    <chartFormat chart="11" format="24" series="1">
      <pivotArea type="data" outline="0" fieldPosition="0">
        <references count="2">
          <reference field="4294967294" count="1" selected="0">
            <x v="0"/>
          </reference>
          <reference field="3" count="1" selected="0">
            <x v="0"/>
          </reference>
        </references>
      </pivotArea>
    </chartFormat>
    <chartFormat chart="11" format="25" series="1">
      <pivotArea type="data" outline="0" fieldPosition="0">
        <references count="2">
          <reference field="4294967294" count="1" selected="0">
            <x v="0"/>
          </reference>
          <reference field="3" count="1" selected="0">
            <x v="1"/>
          </reference>
        </references>
      </pivotArea>
    </chartFormat>
    <chartFormat chart="11" format="26" series="1">
      <pivotArea type="data" outline="0" fieldPosition="0">
        <references count="2">
          <reference field="4294967294" count="1" selected="0">
            <x v="0"/>
          </reference>
          <reference field="3" count="1" selected="0">
            <x v="2"/>
          </reference>
        </references>
      </pivotArea>
    </chartFormat>
    <chartFormat chart="11" format="39" series="1">
      <pivotArea type="data" outline="0" fieldPosition="0">
        <references count="2">
          <reference field="4294967294" count="1" selected="0">
            <x v="0"/>
          </reference>
          <reference field="3" count="1" selected="0">
            <x v="3"/>
          </reference>
        </references>
      </pivotArea>
    </chartFormat>
    <chartFormat chart="11" format="40" series="1">
      <pivotArea type="data" outline="0" fieldPosition="0">
        <references count="2">
          <reference field="4294967294" count="1" selected="0">
            <x v="0"/>
          </reference>
          <reference field="3" count="1" selected="0">
            <x v="4"/>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1" showRowHeaders="1" showColHeaders="1" showRowStripes="0" showColStripes="0" showLastColumn="1"/>
  <rowHierarchiesUsage count="1">
    <rowHierarchyUsage hierarchyUsage="18"/>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 DAV Transportation Cost.xlsm!TRANSPORTATION_COST___RAW_DATA___FACTORY">
        <x15:activeTabTopLevelEntity name="[TRANSPORTATION_COST___RAW_DATA___FAC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68EA163-2DE2-4942-B387-294D642B8217}" name="DAVF- TI LE SU DUNG VENDOR" cacheId="15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1">
  <location ref="A47:B54" firstHeaderRow="1" firstDataRow="1" firstDataCol="1" rowPageCount="1" colPageCount="1"/>
  <pivotFields count="5">
    <pivotField axis="axisPage" allDrilled="1" subtotalTop="0" showAll="0" dataSourceSort="1" defaultSubtotal="0" defaultAttributeDrillState="1">
      <items count="7">
        <item x="0"/>
        <item x="1"/>
        <item x="2"/>
        <item x="3"/>
        <item x="4"/>
        <item x="5"/>
        <item n="TOTAL DAVF" s="1" x="6"/>
      </items>
    </pivotField>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7">
    <i>
      <x/>
    </i>
    <i>
      <x v="1"/>
    </i>
    <i>
      <x v="2"/>
    </i>
    <i>
      <x v="3"/>
    </i>
    <i>
      <x v="4"/>
    </i>
    <i>
      <x v="5"/>
    </i>
    <i t="grand">
      <x/>
    </i>
  </rowItems>
  <colItems count="1">
    <i/>
  </colItems>
  <pageFields count="1">
    <pageField fld="0" hier="15" name="[TRANSPORTATION_COST___RAW_DATA___FACTORY].[Branch].&amp;[TOTAL]" cap="TOTAL"/>
  </pageFields>
  <dataFields count="1">
    <dataField fld="2" subtotal="count" baseField="0" baseItem="0"/>
  </dataFields>
  <formats count="6">
    <format dxfId="379">
      <pivotArea type="all" dataOnly="0" outline="0" fieldPosition="0"/>
    </format>
    <format dxfId="378">
      <pivotArea outline="0" collapsedLevelsAreSubtotals="1" fieldPosition="0"/>
    </format>
    <format dxfId="377">
      <pivotArea field="0" type="button" dataOnly="0" labelOnly="1" outline="0" axis="axisPage" fieldPosition="0"/>
    </format>
    <format dxfId="376">
      <pivotArea dataOnly="0" labelOnly="1" grandRow="1" outline="0" fieldPosition="0"/>
    </format>
    <format dxfId="375">
      <pivotArea dataOnly="0" labelOnly="1" outline="0" axis="axisValues" fieldPosition="0"/>
    </format>
    <format dxfId="374">
      <pivotArea collapsedLevelsAreSubtotals="1" fieldPosition="0">
        <references count="1">
          <reference field="1" count="0"/>
        </references>
      </pivotArea>
    </format>
  </formats>
  <chartFormats count="7">
    <chartFormat chart="8" format="121" series="1">
      <pivotArea type="data" outline="0" fieldPosition="0">
        <references count="1">
          <reference field="4294967294" count="1" selected="0">
            <x v="0"/>
          </reference>
        </references>
      </pivotArea>
    </chartFormat>
    <chartFormat chart="8" format="122">
      <pivotArea type="data" outline="0" fieldPosition="0">
        <references count="2">
          <reference field="4294967294" count="1" selected="0">
            <x v="0"/>
          </reference>
          <reference field="1" count="1" selected="0">
            <x v="0"/>
          </reference>
        </references>
      </pivotArea>
    </chartFormat>
    <chartFormat chart="8" format="123">
      <pivotArea type="data" outline="0" fieldPosition="0">
        <references count="2">
          <reference field="4294967294" count="1" selected="0">
            <x v="0"/>
          </reference>
          <reference field="1" count="1" selected="0">
            <x v="1"/>
          </reference>
        </references>
      </pivotArea>
    </chartFormat>
    <chartFormat chart="8" format="124">
      <pivotArea type="data" outline="0" fieldPosition="0">
        <references count="2">
          <reference field="4294967294" count="1" selected="0">
            <x v="0"/>
          </reference>
          <reference field="1" count="1" selected="0">
            <x v="2"/>
          </reference>
        </references>
      </pivotArea>
    </chartFormat>
    <chartFormat chart="8" format="125">
      <pivotArea type="data" outline="0" fieldPosition="0">
        <references count="2">
          <reference field="4294967294" count="1" selected="0">
            <x v="0"/>
          </reference>
          <reference field="1" count="1" selected="0">
            <x v="3"/>
          </reference>
        </references>
      </pivotArea>
    </chartFormat>
    <chartFormat chart="8" format="126">
      <pivotArea type="data" outline="0" fieldPosition="0">
        <references count="2">
          <reference field="4294967294" count="1" selected="0">
            <x v="0"/>
          </reference>
          <reference field="1" count="1" selected="0">
            <x v="4"/>
          </reference>
        </references>
      </pivotArea>
    </chartFormat>
    <chartFormat chart="8" format="127">
      <pivotArea type="data" outline="0" fieldPosition="0">
        <references count="2">
          <reference field="4294967294" count="1" selected="0">
            <x v="0"/>
          </reference>
          <reference field="1" count="1" selected="0">
            <x v="5"/>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 DAV Transportation Cost.xlsm!TRANSPORTATION_COST___RAW_DATA___FACTORY">
        <x15:activeTabTopLevelEntity name="[TRANSPORTATION_COST___RAW_DATA___FAC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D2F38F9-4895-4896-8DB0-56789610BA71}" name="DAVF- TRANSFER TO BRANCH" cacheId="16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A34:C41" firstHeaderRow="1" firstDataRow="2" firstDataCol="1"/>
  <pivotFields count="5">
    <pivotField dataField="1" subtotalTop="0" showAll="0" defaultSubtotal="0"/>
    <pivotField axis="axisCol" allDrilled="1" subtotalTop="0" showAll="0" dataSourceSort="1" defaultSubtotal="0" defaultAttributeDrillState="1">
      <items count="7">
        <item n="TOTAL DAVF" s="1" x="0"/>
        <item x="1"/>
        <item x="2"/>
        <item x="3"/>
        <item x="4"/>
        <item x="5"/>
        <item x="6"/>
      </items>
    </pivotField>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6">
    <i>
      <x/>
    </i>
    <i>
      <x v="1"/>
    </i>
    <i>
      <x v="2"/>
    </i>
    <i>
      <x v="3"/>
    </i>
    <i>
      <x v="4"/>
    </i>
    <i t="grand">
      <x/>
    </i>
  </rowItems>
  <colFields count="1">
    <field x="1"/>
  </colFields>
  <colItems count="2">
    <i>
      <x/>
    </i>
    <i t="grand">
      <x/>
    </i>
  </colItems>
  <dataFields count="1">
    <dataField name="Sum of Amount" fld="0" baseField="0" baseItem="0"/>
  </dataFields>
  <formats count="7">
    <format dxfId="386">
      <pivotArea type="all" dataOnly="0" outline="0" fieldPosition="0"/>
    </format>
    <format dxfId="385">
      <pivotArea outline="0" collapsedLevelsAreSubtotals="1" fieldPosition="0"/>
    </format>
    <format dxfId="384">
      <pivotArea field="1" type="button" dataOnly="0" labelOnly="1" outline="0" axis="axisCol" fieldPosition="0"/>
    </format>
    <format dxfId="383">
      <pivotArea dataOnly="0" labelOnly="1" fieldPosition="0">
        <references count="1">
          <reference field="1" count="0"/>
        </references>
      </pivotArea>
    </format>
    <format dxfId="382">
      <pivotArea dataOnly="0" labelOnly="1" grandRow="1" outline="0" fieldPosition="0"/>
    </format>
    <format dxfId="381">
      <pivotArea dataOnly="0" labelOnly="1" outline="0" axis="axisValues" fieldPosition="0"/>
    </format>
    <format dxfId="380">
      <pivotArea collapsedLevelsAreSubtotals="1" fieldPosition="0">
        <references count="1">
          <reference field="1" count="0"/>
        </references>
      </pivotArea>
    </format>
  </formats>
  <chartFormats count="27">
    <chartFormat chart="0" format="0" series="1">
      <pivotArea type="data" outline="0" fieldPosition="0">
        <references count="2">
          <reference field="4294967294" count="1" selected="0">
            <x v="0"/>
          </reference>
          <reference field="1" count="1" selected="0">
            <x v="0"/>
          </reference>
        </references>
      </pivotArea>
    </chartFormat>
    <chartFormat chart="0" format="1">
      <pivotArea type="data" outline="0" fieldPosition="0">
        <references count="3">
          <reference field="4294967294" count="1" selected="0">
            <x v="0"/>
          </reference>
          <reference field="1" count="1" selected="0">
            <x v="0"/>
          </reference>
          <reference field="2" count="1" selected="0">
            <x v="0"/>
          </reference>
        </references>
      </pivotArea>
    </chartFormat>
    <chartFormat chart="3" format="32" series="1">
      <pivotArea type="data" outline="0" fieldPosition="0">
        <references count="2">
          <reference field="4294967294" count="1" selected="0">
            <x v="0"/>
          </reference>
          <reference field="1" count="1" selected="0">
            <x v="1"/>
          </reference>
        </references>
      </pivotArea>
    </chartFormat>
    <chartFormat chart="3" format="33">
      <pivotArea type="data" outline="0" fieldPosition="0">
        <references count="3">
          <reference field="4294967294" count="1" selected="0">
            <x v="0"/>
          </reference>
          <reference field="1" count="1" selected="0">
            <x v="1"/>
          </reference>
          <reference field="2" count="1" selected="0">
            <x v="0"/>
          </reference>
        </references>
      </pivotArea>
    </chartFormat>
    <chartFormat chart="3" format="34" series="1">
      <pivotArea type="data" outline="0" fieldPosition="0">
        <references count="2">
          <reference field="4294967294" count="1" selected="0">
            <x v="0"/>
          </reference>
          <reference field="1" count="1" selected="0">
            <x v="2"/>
          </reference>
        </references>
      </pivotArea>
    </chartFormat>
    <chartFormat chart="3" format="35">
      <pivotArea type="data" outline="0" fieldPosition="0">
        <references count="3">
          <reference field="4294967294" count="1" selected="0">
            <x v="0"/>
          </reference>
          <reference field="1" count="1" selected="0">
            <x v="2"/>
          </reference>
          <reference field="2" count="1" selected="0">
            <x v="0"/>
          </reference>
        </references>
      </pivotArea>
    </chartFormat>
    <chartFormat chart="3" format="36" series="1">
      <pivotArea type="data" outline="0" fieldPosition="0">
        <references count="2">
          <reference field="4294967294" count="1" selected="0">
            <x v="0"/>
          </reference>
          <reference field="1" count="1" selected="0">
            <x v="3"/>
          </reference>
        </references>
      </pivotArea>
    </chartFormat>
    <chartFormat chart="3" format="37">
      <pivotArea type="data" outline="0" fieldPosition="0">
        <references count="3">
          <reference field="4294967294" count="1" selected="0">
            <x v="0"/>
          </reference>
          <reference field="1" count="1" selected="0">
            <x v="3"/>
          </reference>
          <reference field="2" count="1" selected="0">
            <x v="0"/>
          </reference>
        </references>
      </pivotArea>
    </chartFormat>
    <chartFormat chart="3" format="38" series="1">
      <pivotArea type="data" outline="0" fieldPosition="0">
        <references count="2">
          <reference field="4294967294" count="1" selected="0">
            <x v="0"/>
          </reference>
          <reference field="1" count="1" selected="0">
            <x v="4"/>
          </reference>
        </references>
      </pivotArea>
    </chartFormat>
    <chartFormat chart="3" format="39">
      <pivotArea type="data" outline="0" fieldPosition="0">
        <references count="3">
          <reference field="4294967294" count="1" selected="0">
            <x v="0"/>
          </reference>
          <reference field="1" count="1" selected="0">
            <x v="4"/>
          </reference>
          <reference field="2" count="1" selected="0">
            <x v="0"/>
          </reference>
        </references>
      </pivotArea>
    </chartFormat>
    <chartFormat chart="3" format="40" series="1">
      <pivotArea type="data" outline="0" fieldPosition="0">
        <references count="2">
          <reference field="4294967294" count="1" selected="0">
            <x v="0"/>
          </reference>
          <reference field="1" count="1" selected="0">
            <x v="5"/>
          </reference>
        </references>
      </pivotArea>
    </chartFormat>
    <chartFormat chart="3" format="41">
      <pivotArea type="data" outline="0" fieldPosition="0">
        <references count="3">
          <reference field="4294967294" count="1" selected="0">
            <x v="0"/>
          </reference>
          <reference field="1" count="1" selected="0">
            <x v="5"/>
          </reference>
          <reference field="2" count="1" selected="0">
            <x v="0"/>
          </reference>
        </references>
      </pivotArea>
    </chartFormat>
    <chartFormat chart="3" format="42" series="1">
      <pivotArea type="data" outline="0" fieldPosition="0">
        <references count="2">
          <reference field="4294967294" count="1" selected="0">
            <x v="0"/>
          </reference>
          <reference field="1" count="1" selected="0">
            <x v="6"/>
          </reference>
        </references>
      </pivotArea>
    </chartFormat>
    <chartFormat chart="3" format="43">
      <pivotArea type="data" outline="0" fieldPosition="0">
        <references count="3">
          <reference field="4294967294" count="1" selected="0">
            <x v="0"/>
          </reference>
          <reference field="1" count="1" selected="0">
            <x v="6"/>
          </reference>
          <reference field="2" count="1" selected="0">
            <x v="0"/>
          </reference>
        </references>
      </pivotArea>
    </chartFormat>
    <chartFormat chart="3" format="44" series="1">
      <pivotArea type="data" outline="0" fieldPosition="0">
        <references count="2">
          <reference field="4294967294" count="1" selected="0">
            <x v="0"/>
          </reference>
          <reference field="1" count="1" selected="0">
            <x v="0"/>
          </reference>
        </references>
      </pivotArea>
    </chartFormat>
    <chartFormat chart="3" format="45">
      <pivotArea type="data" outline="0" fieldPosition="0">
        <references count="3">
          <reference field="4294967294" count="1" selected="0">
            <x v="0"/>
          </reference>
          <reference field="1" count="1" selected="0">
            <x v="0"/>
          </reference>
          <reference field="2" count="1" selected="0">
            <x v="0"/>
          </reference>
        </references>
      </pivotArea>
    </chartFormat>
    <chartFormat chart="3" format="46">
      <pivotArea type="data" outline="0" fieldPosition="0">
        <references count="3">
          <reference field="4294967294" count="1" selected="0">
            <x v="0"/>
          </reference>
          <reference field="1" count="1" selected="0">
            <x v="0"/>
          </reference>
          <reference field="2" count="1" selected="0">
            <x v="1"/>
          </reference>
        </references>
      </pivotArea>
    </chartFormat>
    <chartFormat chart="3" format="47">
      <pivotArea type="data" outline="0" fieldPosition="0">
        <references count="3">
          <reference field="4294967294" count="1" selected="0">
            <x v="0"/>
          </reference>
          <reference field="1" count="1" selected="0">
            <x v="0"/>
          </reference>
          <reference field="2" count="1" selected="0">
            <x v="2"/>
          </reference>
        </references>
      </pivotArea>
    </chartFormat>
    <chartFormat chart="3" format="48">
      <pivotArea type="data" outline="0" fieldPosition="0">
        <references count="3">
          <reference field="4294967294" count="1" selected="0">
            <x v="0"/>
          </reference>
          <reference field="1" count="1" selected="0">
            <x v="3"/>
          </reference>
          <reference field="2" count="1" selected="0">
            <x v="1"/>
          </reference>
        </references>
      </pivotArea>
    </chartFormat>
    <chartFormat chart="3" format="49">
      <pivotArea type="data" outline="0" fieldPosition="0">
        <references count="3">
          <reference field="4294967294" count="1" selected="0">
            <x v="0"/>
          </reference>
          <reference field="1" count="1" selected="0">
            <x v="3"/>
          </reference>
          <reference field="2" count="1" selected="0">
            <x v="2"/>
          </reference>
        </references>
      </pivotArea>
    </chartFormat>
    <chartFormat chart="3" format="50">
      <pivotArea type="data" outline="0" fieldPosition="0">
        <references count="3">
          <reference field="4294967294" count="1" selected="0">
            <x v="0"/>
          </reference>
          <reference field="1" count="1" selected="0">
            <x v="2"/>
          </reference>
          <reference field="2" count="1" selected="0">
            <x v="1"/>
          </reference>
        </references>
      </pivotArea>
    </chartFormat>
    <chartFormat chart="3" format="51">
      <pivotArea type="data" outline="0" fieldPosition="0">
        <references count="3">
          <reference field="4294967294" count="1" selected="0">
            <x v="0"/>
          </reference>
          <reference field="1" count="1" selected="0">
            <x v="2"/>
          </reference>
          <reference field="2" count="1" selected="0">
            <x v="2"/>
          </reference>
        </references>
      </pivotArea>
    </chartFormat>
    <chartFormat chart="3" format="52">
      <pivotArea type="data" outline="0" fieldPosition="0">
        <references count="3">
          <reference field="4294967294" count="1" selected="0">
            <x v="0"/>
          </reference>
          <reference field="1" count="1" selected="0">
            <x v="1"/>
          </reference>
          <reference field="2" count="1" selected="0">
            <x v="1"/>
          </reference>
        </references>
      </pivotArea>
    </chartFormat>
    <chartFormat chart="3" format="53">
      <pivotArea type="data" outline="0" fieldPosition="0">
        <references count="3">
          <reference field="4294967294" count="1" selected="0">
            <x v="0"/>
          </reference>
          <reference field="1" count="1" selected="0">
            <x v="1"/>
          </reference>
          <reference field="2" count="1" selected="0">
            <x v="2"/>
          </reference>
        </references>
      </pivotArea>
    </chartFormat>
    <chartFormat chart="3" format="54">
      <pivotArea type="data" outline="0" fieldPosition="0">
        <references count="3">
          <reference field="4294967294" count="1" selected="0">
            <x v="0"/>
          </reference>
          <reference field="1" count="1" selected="0">
            <x v="6"/>
          </reference>
          <reference field="2" count="1" selected="0">
            <x v="1"/>
          </reference>
        </references>
      </pivotArea>
    </chartFormat>
    <chartFormat chart="3" format="55">
      <pivotArea type="data" outline="0" fieldPosition="0">
        <references count="3">
          <reference field="4294967294" count="1" selected="0">
            <x v="0"/>
          </reference>
          <reference field="1" count="1" selected="0">
            <x v="6"/>
          </reference>
          <reference field="2" count="1" selected="0">
            <x v="2"/>
          </reference>
        </references>
      </pivotArea>
    </chartFormat>
    <chartFormat chart="3" format="57">
      <pivotArea type="data" outline="0" fieldPosition="0">
        <references count="3">
          <reference field="4294967294" count="1" selected="0">
            <x v="0"/>
          </reference>
          <reference field="1" count="1" selected="0">
            <x v="1"/>
          </reference>
          <reference field="2" count="1" selected="0">
            <x v="3"/>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 DAV Transportation Cost.xlsm!TRANSPORTATION_COST___RAW_DATA___FACTORY">
        <x15:activeTabTopLevelEntity name="[TRANSPORTATION_COST___RAW_DATA___FAC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A340BAD-C963-418B-B9D1-A561E7A9D11B}" name="DAVF- TOTAL COST BY MONTH- STATIC" cacheId="15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
  <location ref="A8:I15" firstHeaderRow="1" firstDataRow="2" firstDataCol="1"/>
  <pivotFields count="3">
    <pivotField dataField="1" subtotalTop="0" showAll="0" defaultSubtotal="0"/>
    <pivotField axis="axisCol" allDrilled="1" subtotalTop="0" showAll="0" dataSourceSort="1" defaultSubtotal="0" defaultAttributeDrillState="1">
      <items count="7">
        <item x="0"/>
        <item x="1"/>
        <item x="2"/>
        <item x="3"/>
        <item x="4"/>
        <item x="5"/>
        <item x="6"/>
      </items>
    </pivotField>
    <pivotField axis="axisRow" allDrilled="1" subtotalTop="0" showAll="0" dataSourceSort="1" defaultSubtotal="0" defaultAttributeDrillState="1">
      <items count="5">
        <item x="0"/>
        <item x="1"/>
        <item x="2"/>
        <item x="3"/>
        <item x="4"/>
      </items>
    </pivotField>
  </pivotFields>
  <rowFields count="1">
    <field x="2"/>
  </rowFields>
  <rowItems count="6">
    <i>
      <x/>
    </i>
    <i>
      <x v="1"/>
    </i>
    <i>
      <x v="2"/>
    </i>
    <i>
      <x v="3"/>
    </i>
    <i>
      <x v="4"/>
    </i>
    <i t="grand">
      <x/>
    </i>
  </rowItems>
  <colFields count="1">
    <field x="1"/>
  </colFields>
  <colItems count="8">
    <i>
      <x/>
    </i>
    <i>
      <x v="1"/>
    </i>
    <i>
      <x v="2"/>
    </i>
    <i>
      <x v="3"/>
    </i>
    <i>
      <x v="4"/>
    </i>
    <i>
      <x v="5"/>
    </i>
    <i>
      <x v="6"/>
    </i>
    <i t="grand">
      <x/>
    </i>
  </colItems>
  <dataFields count="1">
    <dataField name="Sum of Amount" fld="0" baseField="0" baseItem="0"/>
  </dataFields>
  <formats count="7">
    <format dxfId="393">
      <pivotArea type="all" dataOnly="0" outline="0" fieldPosition="0"/>
    </format>
    <format dxfId="392">
      <pivotArea outline="0" collapsedLevelsAreSubtotals="1" fieldPosition="0"/>
    </format>
    <format dxfId="391">
      <pivotArea field="1" type="button" dataOnly="0" labelOnly="1" outline="0" axis="axisCol" fieldPosition="0"/>
    </format>
    <format dxfId="390">
      <pivotArea dataOnly="0" labelOnly="1" fieldPosition="0">
        <references count="1">
          <reference field="1" count="0"/>
        </references>
      </pivotArea>
    </format>
    <format dxfId="389">
      <pivotArea dataOnly="0" labelOnly="1" grandRow="1" outline="0" fieldPosition="0"/>
    </format>
    <format dxfId="388">
      <pivotArea dataOnly="0" labelOnly="1" outline="0" axis="axisValues" fieldPosition="0"/>
    </format>
    <format dxfId="387">
      <pivotArea collapsedLevelsAreSubtotals="1" fieldPosition="0">
        <references count="1">
          <reference field="1" count="0"/>
        </references>
      </pivotArea>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 DAV Transportation Cost.xlsm!TRANSPORTATION_COST___RAW_DATA___FACTORY">
        <x15:activeTabTopLevelEntity name="[TRANSPORTATION_COST___RAW_DATA___FAC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EF16678-E6EE-44F5-8973-8285C892C437}" name="DAVF - SỐ CBM ĐÃ SỬ DỤNG THEO VENDOR" cacheId="14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A89:G97" firstHeaderRow="1" firstDataRow="2" firstDataCol="1" rowPageCount="1" colPageCount="1"/>
  <pivotFields count="5">
    <pivotField axis="axisPage" allDrilled="1" subtotalTop="0" showAll="0" dataSourceSort="1" defaultSubtotal="0" defaultAttributeDrillState="1">
      <items count="7">
        <item x="0"/>
        <item x="1"/>
        <item x="2"/>
        <item x="3"/>
        <item x="4"/>
        <item x="5"/>
        <item n="TOTAL DAVF" s="1" x="6"/>
      </items>
    </pivotField>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1"/>
  </rowFields>
  <rowItems count="7">
    <i>
      <x/>
    </i>
    <i>
      <x v="1"/>
    </i>
    <i>
      <x v="2"/>
    </i>
    <i>
      <x v="3"/>
    </i>
    <i>
      <x v="4"/>
    </i>
    <i>
      <x v="5"/>
    </i>
    <i t="grand">
      <x/>
    </i>
  </rowItems>
  <colFields count="1">
    <field x="2"/>
  </colFields>
  <colItems count="6">
    <i>
      <x/>
    </i>
    <i>
      <x v="1"/>
    </i>
    <i>
      <x v="2"/>
    </i>
    <i>
      <x v="3"/>
    </i>
    <i>
      <x v="4"/>
    </i>
    <i t="grand">
      <x/>
    </i>
  </colItems>
  <pageFields count="1">
    <pageField fld="0" hier="15" name="[TRANSPORTATION_COST___RAW_DATA___FACTORY].[Branch].&amp;[TOTAL]" cap="TOTAL"/>
  </pageFields>
  <dataFields count="1">
    <dataField name="Sum of CBM" fld="3" baseField="0" baseItem="0"/>
  </dataFields>
  <formats count="6">
    <format dxfId="399">
      <pivotArea type="all" dataOnly="0" outline="0" fieldPosition="0"/>
    </format>
    <format dxfId="398">
      <pivotArea outline="0" collapsedLevelsAreSubtotals="1" fieldPosition="0"/>
    </format>
    <format dxfId="397">
      <pivotArea field="0" type="button" dataOnly="0" labelOnly="1" outline="0" axis="axisPage" fieldPosition="0"/>
    </format>
    <format dxfId="396">
      <pivotArea dataOnly="0" labelOnly="1" grandRow="1" outline="0" fieldPosition="0"/>
    </format>
    <format dxfId="395">
      <pivotArea dataOnly="0" labelOnly="1" outline="0" axis="axisValues" fieldPosition="0"/>
    </format>
    <format dxfId="394">
      <pivotArea collapsedLevelsAreSubtotals="1" fieldPosition="0">
        <references count="1">
          <reference field="1" count="0"/>
        </references>
      </pivotArea>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1" showRowHeaders="1" showColHeaders="1" showRowStripes="0" showColStripes="0" showLastColumn="1"/>
  <rowHierarchiesUsage count="1">
    <rowHierarchyUsage hierarchyUsage="18"/>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 DAV Transportation Cost.xlsm!TRANSPORTATION_COST___RAW_DATA___FACTORY">
        <x15:activeTabTopLevelEntity name="[TRANSPORTATION_COST___RAW_DATA___FACTO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3" xr16:uid="{05B24863-DDC1-44AE-B636-8E7EB2580D21}" autoFormatId="16" applyNumberFormats="0" applyBorderFormats="0" applyFontFormats="0" applyPatternFormats="0" applyAlignmentFormats="0" applyWidthHeightFormats="0">
  <queryTableRefresh nextId="30">
    <queryTableFields count="5">
      <queryTableField id="1" name="Tháng" tableColumnId="1"/>
      <queryTableField id="2" name="Chi nhánh" tableColumnId="2"/>
      <queryTableField id="3" name="Nhà vận tải" tableColumnId="3"/>
      <queryTableField id="28" name="Chi Phí - LTL" tableColumnId="28"/>
      <queryTableField id="29" name="KPI- LTL" tableColumnId="2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4" xr16:uid="{9504C777-0A3A-4BA3-9C44-170424A36EE1}" autoFormatId="16" applyNumberFormats="0" applyBorderFormats="0" applyFontFormats="0" applyPatternFormats="0" applyAlignmentFormats="0" applyWidthHeightFormats="0">
  <queryTableRefresh nextId="30">
    <queryTableFields count="5">
      <queryTableField id="1" name="Tháng" tableColumnId="1"/>
      <queryTableField id="2" name="Chi nhánh" tableColumnId="2"/>
      <queryTableField id="3" name="Nhà vận tải" tableColumnId="3"/>
      <queryTableField id="28" name="Chi Phí- cẩu" tableColumnId="28"/>
      <queryTableField id="29" name="KPI- cẩu" tableColumnId="2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2" xr16:uid="{E1F4C972-6E4A-48F4-A727-FB24F4E7873A}" autoFormatId="16" applyNumberFormats="0" applyBorderFormats="0" applyFontFormats="0" applyPatternFormats="0" applyAlignmentFormats="0" applyWidthHeightFormats="0">
  <queryTableRefresh nextId="31">
    <queryTableFields count="5">
      <queryTableField id="1" name="Tháng" tableColumnId="1"/>
      <queryTableField id="2" name="Chi nhánh" tableColumnId="2"/>
      <queryTableField id="3" name="Nhà vận tải" tableColumnId="3"/>
      <queryTableField id="28" name="Chi phí- dài" tableColumnId="28"/>
      <queryTableField id="30" name="KPI-dài"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F6EC4082-C031-44A5-8F5A-3D701EF81C65}" autoFormatId="16" applyNumberFormats="0" applyBorderFormats="0" applyFontFormats="0" applyPatternFormats="0" applyAlignmentFormats="0" applyWidthHeightFormats="0">
  <queryTableRefresh nextId="27">
    <queryTableFields count="5">
      <queryTableField id="4" name="Tháng" tableColumnId="4"/>
      <queryTableField id="5" name="Chi nhánh" tableColumnId="5"/>
      <queryTableField id="6" name="Nhà vận tải" tableColumnId="6"/>
      <queryTableField id="25" name="Chi Phí - ngắn" tableColumnId="1"/>
      <queryTableField id="26" name="KPI- ngắn"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9" xr16:uid="{8AAB4D48-5E95-4A9E-9A86-DD0DA4289811}" autoFormatId="16" applyNumberFormats="0" applyBorderFormats="0" applyFontFormats="0" applyPatternFormats="0" applyAlignmentFormats="0" applyWidthHeightFormats="0">
  <queryTableRefresh nextId="8">
    <queryTableFields count="7">
      <queryTableField id="1" name="Branch" tableColumnId="1"/>
      <queryTableField id="2" name="Month" tableColumnId="2"/>
      <queryTableField id="3" name="SCOPE" tableColumnId="3"/>
      <queryTableField id="4" name="VENDOR" tableColumnId="4"/>
      <queryTableField id="5" name="Qty" tableColumnId="5"/>
      <queryTableField id="6" name="CBM" tableColumnId="6"/>
      <queryTableField id="7" name="Amount"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 xr10:uid="{DF1AB922-8536-43F9-B4E3-2A117C605AD4}" sourceName="Chi nhánh">
  <pivotTables>
    <pivotTable tabId="7" name="chi phí"/>
  </pivotTables>
  <data>
    <tabular pivotCacheId="1471960889">
      <items count="7">
        <i x="4" s="1"/>
        <i x="0" s="1"/>
        <i x="6" s="1"/>
        <i x="5" s="1"/>
        <i x="1"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2" xr10:uid="{0E5A77A2-B931-4E56-B24E-DE15209844A3}" sourceName="[Table_Raw_Data__ngắn].[Chi nhánh]">
  <pivotTables>
    <pivotTable tabId="7" name="KPI"/>
    <pivotTable tabId="7" name="tỉ lệ."/>
  </pivotTables>
  <data>
    <olap pivotCacheId="554865766">
      <levels count="2">
        <level uniqueName="[Table_Raw_Data__ngắn].[Chi nhánh].[(All)]" sourceCaption="(All)" count="0"/>
        <level uniqueName="[Table_Raw_Data__ngắn].[Chi nhánh].[Chi nhánh]" sourceCaption="Chi nhánh" count="7">
          <ranges>
            <range startItem="0">
              <i n="[Table_Raw_Data__ngắn].[Chi nhánh].&amp;[CT]" c="CT"/>
              <i n="[Table_Raw_Data__ngắn].[Chi nhánh].&amp;[DN]" c="DN"/>
              <i n="[Table_Raw_Data__ngắn].[Chi nhánh].&amp;[HCM]" c="HCM"/>
              <i n="[Table_Raw_Data__ngắn].[Chi nhánh].&amp;[HN]" c="HN"/>
              <i n="[Table_Raw_Data__ngắn].[Chi nhánh].&amp;[HP]" c="HP"/>
              <i n="[Table_Raw_Data__ngắn].[Chi nhánh].&amp;[KH]" c="KH"/>
              <i n="[Table_Raw_Data__ngắn].[Chi nhánh].&amp;[NA]" c="NA"/>
            </range>
          </ranges>
        </level>
      </levels>
      <selections count="1">
        <selection n="[Table_Raw_Data__ngắn].[Chi nhán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1" xr10:uid="{00259913-B209-426D-8059-95AC46829B1E}" sourceName="[Table_Raw_Data__ngắn].[Tháng]">
  <pivotTables>
    <pivotTable tabId="7" name="KPI"/>
    <pivotTable tabId="7" name="tỉ lệ."/>
  </pivotTables>
  <data>
    <olap pivotCacheId="554865766">
      <levels count="2">
        <level uniqueName="[Table_Raw_Data__ngắn].[Tháng].[(All)]" sourceCaption="(All)" count="0"/>
        <level uniqueName="[Table_Raw_Data__ngắn].[Tháng].[Tháng]" sourceCaption="Tháng" count="5">
          <ranges>
            <range startItem="0">
              <i n="[Table_Raw_Data__ngắn].[Tháng].&amp;[4]" c="4"/>
              <i n="[Table_Raw_Data__ngắn].[Tháng].&amp;[5]" c="5"/>
              <i n="[Table_Raw_Data__ngắn].[Tháng].&amp;[6]" c="6"/>
              <i n="[Table_Raw_Data__ngắn].[Tháng].&amp;[7]" c="7"/>
              <i n="[Table_Raw_Data__ngắn].[Tháng].&amp;[8]" c="8"/>
            </range>
          </ranges>
        </level>
      </levels>
      <selections count="1">
        <selection n="[Table_Raw_Data__ngắn].[Tháng].[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 xr10:uid="{69F1585A-D705-4F68-A6BC-8665BEAE10C1}" sourceName="Tháng">
  <pivotTables>
    <pivotTable tabId="7" name="chi phí"/>
  </pivotTables>
  <data>
    <tabular pivotCacheId="1471960889">
      <items count="5">
        <i x="0" s="1"/>
        <i x="1" s="1"/>
        <i x="4" s="1"/>
        <i x="2"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1" xr10:uid="{9338A904-FFA4-4FA2-B37B-092F31CA32D2}" sourceName="[Table_Raw_Data___dài].[Chi nhánh]">
  <pivotTables>
    <pivotTable tabId="10" name="chi phí- dài"/>
  </pivotTables>
  <data>
    <olap pivotCacheId="797223445">
      <levels count="2">
        <level uniqueName="[Table_Raw_Data___dài].[Chi nhánh].[(All)]" sourceCaption="(All)" count="0"/>
        <level uniqueName="[Table_Raw_Data___dài].[Chi nhánh].[Chi nhánh]" sourceCaption="Chi nhánh" count="3">
          <ranges>
            <range startItem="0">
              <i n="[Table_Raw_Data___dài].[Chi nhánh].&amp;[DN]" c="DN"/>
              <i n="[Table_Raw_Data___dài].[Chi nhánh].&amp;[HCM]" c="HCM"/>
              <i n="[Table_Raw_Data___dài].[Chi nhánh].&amp;[HN]" c="HN"/>
            </range>
          </ranges>
        </level>
      </levels>
      <selections count="1">
        <selection n="[Table_Raw_Data___dài].[Chi nhánh].[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2" xr10:uid="{69ED2AE4-D258-4AAE-AB43-B0409ADF5143}" sourceName="[Table_Raw_Data___dài].[Tháng]">
  <pivotTables>
    <pivotTable tabId="10" name="chi phí- dài"/>
  </pivotTables>
  <data>
    <olap pivotCacheId="797223445">
      <levels count="2">
        <level uniqueName="[Table_Raw_Data___dài].[Tháng].[(All)]" sourceCaption="(All)" count="0"/>
        <level uniqueName="[Table_Raw_Data___dài].[Tháng].[Tháng]" sourceCaption="Tháng" count="5">
          <ranges>
            <range startItem="0">
              <i n="[Table_Raw_Data___dài].[Tháng].&amp;[4]" c="4"/>
              <i n="[Table_Raw_Data___dài].[Tháng].&amp;[5]" c="5"/>
              <i n="[Table_Raw_Data___dài].[Tháng].&amp;[6]" c="6"/>
              <i n="[Table_Raw_Data___dài].[Tháng].&amp;[7]" c="7"/>
              <i n="[Table_Raw_Data___dài].[Tháng].&amp;[8]" c="8"/>
            </range>
          </ranges>
        </level>
      </levels>
      <selections count="1">
        <selection n="[Table_Raw_Data___dài].[Tháng].[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3" xr10:uid="{5D6677EA-E570-42EF-877F-625AE8CD1D7A}" sourceName="[Table_Raw_Data___dài].[Chi nhánh]">
  <pivotTables>
    <pivotTable tabId="10" name="tỉ lệ- dài"/>
    <pivotTable tabId="10" name="KPI- dài"/>
  </pivotTables>
  <data>
    <olap pivotCacheId="439841281">
      <levels count="2">
        <level uniqueName="[Table_Raw_Data___dài].[Chi nhánh].[(All)]" sourceCaption="(All)" count="0"/>
        <level uniqueName="[Table_Raw_Data___dài].[Chi nhánh].[Chi nhánh]" sourceCaption="Chi nhánh" count="3">
          <ranges>
            <range startItem="0">
              <i n="[Table_Raw_Data___dài].[Chi nhánh].&amp;[DN]" c="DN"/>
              <i n="[Table_Raw_Data___dài].[Chi nhánh].&amp;[HCM]" c="HCM"/>
              <i n="[Table_Raw_Data___dài].[Chi nhánh].&amp;[HN]" c="HN"/>
            </range>
          </ranges>
        </level>
      </levels>
      <selections count="1">
        <selection n="[Table_Raw_Data___dài].[Chi nhánh].[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3" xr10:uid="{7EF76961-2362-426E-882A-FEB6F27E3C94}" sourceName="[Table_Raw_Data___dài].[Tháng]">
  <pivotTables>
    <pivotTable tabId="10" name="tỉ lệ- dài"/>
    <pivotTable tabId="10" name="KPI- dài"/>
  </pivotTables>
  <data>
    <olap pivotCacheId="439841281">
      <levels count="2">
        <level uniqueName="[Table_Raw_Data___dài].[Tháng].[(All)]" sourceCaption="(All)" count="0"/>
        <level uniqueName="[Table_Raw_Data___dài].[Tháng].[Tháng]" sourceCaption="Tháng" count="5">
          <ranges>
            <range startItem="0">
              <i n="[Table_Raw_Data___dài].[Tháng].&amp;[4]" c="4"/>
              <i n="[Table_Raw_Data___dài].[Tháng].&amp;[5]" c="5"/>
              <i n="[Table_Raw_Data___dài].[Tháng].&amp;[6]" c="6"/>
              <i n="[Table_Raw_Data___dài].[Tháng].&amp;[7]" c="7"/>
              <i n="[Table_Raw_Data___dài].[Tháng].&amp;[8]" c="8"/>
            </range>
          </ranges>
        </level>
      </levels>
      <selections count="1">
        <selection n="[Table_Raw_Data___dài].[Tháng].[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4" xr10:uid="{663C2795-4A6D-4278-B31C-9F425B803B7C}" sourceName="[Table_Raw_Data___LTL].[Chi nhánh]">
  <pivotTables>
    <pivotTable tabId="13" name="chi phí - LTL"/>
  </pivotTables>
  <data>
    <olap pivotCacheId="1201393982">
      <levels count="2">
        <level uniqueName="[Table_Raw_Data___LTL].[Chi nhánh].[(All)]" sourceCaption="(All)" count="0"/>
        <level uniqueName="[Table_Raw_Data___LTL].[Chi nhánh].[Chi nhánh]" sourceCaption="Chi nhánh" count="8">
          <ranges>
            <range startItem="0">
              <i n="[Table_Raw_Data___LTL].[Chi nhánh].&amp;[CT]" c="CT"/>
              <i n="[Table_Raw_Data___LTL].[Chi nhánh].&amp;[DN]" c="DN"/>
              <i n="[Table_Raw_Data___LTL].[Chi nhánh].&amp;[HCM]" c="HCM"/>
              <i n="[Table_Raw_Data___LTL].[Chi nhánh].&amp;[HN]" c="HN"/>
              <i n="[Table_Raw_Data___LTL].[Chi nhánh].&amp;[HP]" c="HP"/>
              <i n="[Table_Raw_Data___LTL].[Chi nhánh].&amp;[KH]" c="KH"/>
              <i n="[Table_Raw_Data___LTL].[Chi nhánh].&amp;[NA]" c="NA"/>
              <i n="[Table_Raw_Data___LTL].[Chi nhánh].&amp;[PC]" c="PC"/>
            </range>
          </ranges>
        </level>
      </levels>
      <selections count="1">
        <selection n="[Table_Raw_Data___LTL].[Chi nhánh].[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4" xr10:uid="{B788A019-5646-40FD-A397-547C4687986A}" sourceName="[Table_Raw_Data___LTL].[Tháng]">
  <pivotTables>
    <pivotTable tabId="13" name="chi phí - LTL"/>
  </pivotTables>
  <data>
    <olap pivotCacheId="1201393982">
      <levels count="2">
        <level uniqueName="[Table_Raw_Data___LTL].[Tháng].[(All)]" sourceCaption="(All)" count="0"/>
        <level uniqueName="[Table_Raw_Data___LTL].[Tháng].[Tháng]" sourceCaption="Tháng" count="5">
          <ranges>
            <range startItem="0">
              <i n="[Table_Raw_Data___LTL].[Tháng].&amp;[4]" c="4"/>
              <i n="[Table_Raw_Data___LTL].[Tháng].&amp;[5]" c="5"/>
              <i n="[Table_Raw_Data___LTL].[Tháng].&amp;[6]" c="6"/>
              <i n="[Table_Raw_Data___LTL].[Tháng].&amp;[7]" c="7"/>
              <i n="[Table_Raw_Data___LTL].[Tháng].&amp;[8]" c="8"/>
            </range>
          </ranges>
        </level>
      </levels>
      <selections count="1">
        <selection n="[Table_Raw_Data___LTL].[Tháng].[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5" xr10:uid="{42DE51A4-9766-47ED-9C3E-DEF47B8B0C6D}" sourceName="[Table_Raw_Data___LTL].[Chi nhánh]">
  <pivotTables>
    <pivotTable tabId="13" name="RATIO - LTL"/>
    <pivotTable tabId="13" name="KPI - LTL"/>
  </pivotTables>
  <data>
    <olap pivotCacheId="825046260">
      <levels count="2">
        <level uniqueName="[Table_Raw_Data___LTL].[Chi nhánh].[(All)]" sourceCaption="(All)" count="0"/>
        <level uniqueName="[Table_Raw_Data___LTL].[Chi nhánh].[Chi nhánh]" sourceCaption="Chi nhánh" count="8">
          <ranges>
            <range startItem="0">
              <i n="[Table_Raw_Data___LTL].[Chi nhánh].&amp;[CT]" c="CT"/>
              <i n="[Table_Raw_Data___LTL].[Chi nhánh].&amp;[DN]" c="DN"/>
              <i n="[Table_Raw_Data___LTL].[Chi nhánh].&amp;[HCM]" c="HCM"/>
              <i n="[Table_Raw_Data___LTL].[Chi nhánh].&amp;[HN]" c="HN"/>
              <i n="[Table_Raw_Data___LTL].[Chi nhánh].&amp;[HP]" c="HP"/>
              <i n="[Table_Raw_Data___LTL].[Chi nhánh].&amp;[KH]" c="KH"/>
              <i n="[Table_Raw_Data___LTL].[Chi nhánh].&amp;[NA]" c="NA"/>
              <i n="[Table_Raw_Data___LTL].[Chi nhánh].&amp;[PC]" c="PC"/>
            </range>
          </ranges>
        </level>
      </levels>
      <selections count="1">
        <selection n="[Table_Raw_Data___LTL].[Chi nhánh].[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5" xr10:uid="{39F3D016-FA39-445B-91DE-BF6F945E1F71}" sourceName="[Table_Raw_Data___LTL].[Tháng]">
  <pivotTables>
    <pivotTable tabId="13" name="RATIO - LTL"/>
    <pivotTable tabId="13" name="KPI - LTL"/>
  </pivotTables>
  <data>
    <olap pivotCacheId="825046260">
      <levels count="2">
        <level uniqueName="[Table_Raw_Data___LTL].[Tháng].[(All)]" sourceCaption="(All)" count="0"/>
        <level uniqueName="[Table_Raw_Data___LTL].[Tháng].[Tháng]" sourceCaption="Tháng" count="5">
          <ranges>
            <range startItem="0">
              <i n="[Table_Raw_Data___LTL].[Tháng].&amp;[4]" c="4"/>
              <i n="[Table_Raw_Data___LTL].[Tháng].&amp;[5]" c="5"/>
              <i n="[Table_Raw_Data___LTL].[Tháng].&amp;[6]" c="6"/>
              <i n="[Table_Raw_Data___LTL].[Tháng].&amp;[7]" c="7"/>
              <i n="[Table_Raw_Data___LTL].[Tháng].&amp;[8]" c="8"/>
            </range>
          </ranges>
        </level>
      </levels>
      <selections count="1">
        <selection n="[Table_Raw_Data___LTL].[Tháng].[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33040833-D3EE-40E9-9903-7C5D2FABFBBE}" sourceName="[TRANSPORTATION_COST___RAW_DATA___FACTORY].[Branch]">
  <pivotTables>
    <pivotTable tabId="18" name="DAVF- TRANSFER TO BRANCH"/>
    <pivotTable tabId="18" name="DAVF - SỐ CBM ĐÃ SỬ DỤNG THEO VENDOR"/>
    <pivotTable tabId="18" name="DAVF - SỐ TIỀN SỬ DỤNG CỦA VENDOR THEO THÁNG "/>
    <pivotTable tabId="18" name="DAVF- SỐ CHUYẾN SỬ DỤNG THEO VENDOR"/>
    <pivotTable tabId="18" name="DAVF- TI LE SU DUNG VENDOR"/>
  </pivotTables>
  <data>
    <olap pivotCacheId="1785745657">
      <levels count="2">
        <level uniqueName="[TRANSPORTATION_COST___RAW_DATA___FACTORY].[Branch].[(All)]" sourceCaption="(All)" count="0"/>
        <level uniqueName="[TRANSPORTATION_COST___RAW_DATA___FACTORY].[Branch].[Branch]" sourceCaption="Branch" count="7">
          <ranges>
            <range startItem="0">
              <i n="[TRANSPORTATION_COST___RAW_DATA___FACTORY].[Branch].&amp;[CT]" c="CT"/>
              <i n="[TRANSPORTATION_COST___RAW_DATA___FACTORY].[Branch].&amp;[DN]" c="DN"/>
              <i n="[TRANSPORTATION_COST___RAW_DATA___FACTORY].[Branch].&amp;[HCM]" c="HCM"/>
              <i n="[TRANSPORTATION_COST___RAW_DATA___FACTORY].[Branch].&amp;[HN]" c="HN"/>
              <i n="[TRANSPORTATION_COST___RAW_DATA___FACTORY].[Branch].&amp;[HP]" c="HP"/>
              <i n="[TRANSPORTATION_COST___RAW_DATA___FACTORY].[Branch].&amp;[NA]" c="NA"/>
              <i n="[TRANSPORTATION_COST___RAW_DATA___FACTORY].[Branch].&amp;[TOTAL]" c="TOTAL"/>
            </range>
          </ranges>
        </level>
      </levels>
      <selections count="1">
        <selection n="[TRANSPORTATION_COST___RAW_DATA___FACTORY].[Branch].&amp;[TOTA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D1F51F4-EDED-425F-A92F-BCE8B8803B65}" sourceName="[TRANSPORTATION_COST___RAW_DATA___FACTORY].[Month]">
  <pivotTables>
    <pivotTable tabId="18" name="DAVF- TRANSFER TO BRANCH"/>
    <pivotTable tabId="18" name="DAVF - SỐ CBM ĐÃ SỬ DỤNG THEO VENDOR"/>
    <pivotTable tabId="18" name="DAVF - SỐ TIỀN SỬ DỤNG CỦA VENDOR THEO THÁNG "/>
    <pivotTable tabId="18" name="DAVF- SỐ CHUYẾN SỬ DỤNG THEO VENDOR"/>
    <pivotTable tabId="18" name="DAVF- TI LE SU DUNG VENDOR"/>
    <pivotTable tabId="18" name="DAVF- TOTAL COST BY MONTH- STATIC"/>
  </pivotTables>
  <data>
    <olap pivotCacheId="1785745657">
      <levels count="2">
        <level uniqueName="[TRANSPORTATION_COST___RAW_DATA___FACTORY].[Month].[(All)]" sourceCaption="(All)" count="0"/>
        <level uniqueName="[TRANSPORTATION_COST___RAW_DATA___FACTORY].[Month].[Month]" sourceCaption="Month" count="5">
          <ranges>
            <range startItem="0">
              <i n="[TRANSPORTATION_COST___RAW_DATA___FACTORY].[Month].&amp;[4]" c="4"/>
              <i n="[TRANSPORTATION_COST___RAW_DATA___FACTORY].[Month].&amp;[5]" c="5"/>
              <i n="[TRANSPORTATION_COST___RAW_DATA___FACTORY].[Month].&amp;[6]" c="6"/>
              <i n="[TRANSPORTATION_COST___RAW_DATA___FACTORY].[Month].&amp;[7]" c="7"/>
              <i n="[TRANSPORTATION_COST___RAW_DATA___FACTORY].[Month].&amp;[8]" c="8"/>
            </range>
          </ranges>
        </level>
      </levels>
      <selections count="1">
        <selection n="[TRANSPORTATION_COST___RAW_DATA___FACTORY].[Month].[All]"/>
      </selections>
    </olap>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OPE" xr10:uid="{679081C2-82C3-4F35-AFF8-497281DA031F}" sourceName="[TRANSPORTATION_COST___RAW_DATA___FACTORY].[SCOPE]">
  <pivotTables>
    <pivotTable tabId="18" name="DAVF- TI LE SU DUNG VENDOR"/>
    <pivotTable tabId="18" name="DAVF - SỐ TIỀN SỬ DỤNG CỦA VENDOR THEO THÁNG "/>
    <pivotTable tabId="18" name="DAVF- SỐ CHUYẾN SỬ DỤNG THEO VENDOR"/>
    <pivotTable tabId="18" name="DAVF - SỐ CBM ĐÃ SỬ DỤNG THEO VENDOR"/>
    <pivotTable tabId="18" name="DAVF- TRANSFER TO BRANCH"/>
  </pivotTables>
  <data>
    <olap pivotCacheId="1785745657">
      <levels count="2">
        <level uniqueName="[TRANSPORTATION_COST___RAW_DATA___FACTORY].[SCOPE].[(All)]" sourceCaption="(All)" count="0"/>
        <level uniqueName="[TRANSPORTATION_COST___RAW_DATA___FACTORY].[SCOPE].[SCOPE]" sourceCaption="SCOPE" count="4">
          <ranges>
            <range startItem="0">
              <i n="[TRANSPORTATION_COST___RAW_DATA___FACTORY].[SCOPE].&amp;[CPN]" c="CPN"/>
              <i n="[TRANSPORTATION_COST___RAW_DATA___FACTORY].[SCOPE].&amp;[OTHER]" c="OTHER"/>
              <i n="[TRANSPORTATION_COST___RAW_DATA___FACTORY].[SCOPE].&amp;[SEA]" c="SEA"/>
              <i n="[TRANSPORTATION_COST___RAW_DATA___FACTORY].[SCOPE].&amp;[TRUCK]" c="TRUCK"/>
            </range>
          </ranges>
        </level>
      </levels>
      <selections count="1">
        <selection n="[TRANSPORTATION_COST___RAW_DATA___FACTORY].[SCOPE].[All]"/>
      </selections>
    </olap>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 xr10:uid="{01C72B30-ABF5-45FA-A090-72B639586AD5}" sourceName="[TRANSPORTATION_COST___RAW_DATA___FACTORY].[VENDOR]">
  <pivotTables>
    <pivotTable tabId="18" name="DAVF - SỐ TIỀN SỬ DỤNG CỦA VENDOR THEO THÁNG "/>
    <pivotTable tabId="18" name="DAVF- SỐ CHUYẾN SỬ DỤNG THEO VENDOR"/>
    <pivotTable tabId="18" name="DAVF - SỐ CBM ĐÃ SỬ DỤNG THEO VENDOR"/>
    <pivotTable tabId="18" name="DAVF- TI LE SU DUNG VENDOR"/>
    <pivotTable tabId="18" name="DAVF- TRANSFER TO BRANCH"/>
  </pivotTables>
  <data>
    <olap pivotCacheId="1785745657">
      <levels count="2">
        <level uniqueName="[TRANSPORTATION_COST___RAW_DATA___FACTORY].[VENDOR].[(All)]" sourceCaption="(All)" count="0"/>
        <level uniqueName="[TRANSPORTATION_COST___RAW_DATA___FACTORY].[VENDOR].[VENDOR]" sourceCaption="VENDOR" count="6">
          <ranges>
            <range startItem="0">
              <i n="[TRANSPORTATION_COST___RAW_DATA___FACTORY].[VENDOR].&amp;[BUU CHINH]" c="BUU CHINH"/>
              <i n="[TRANSPORTATION_COST___RAW_DATA___FACTORY].[VENDOR].&amp;[DRAGON]" c="DRAGON"/>
              <i n="[TRANSPORTATION_COST___RAW_DATA___FACTORY].[VENDOR].&amp;[HAI AN]" c="HAI AN"/>
              <i n="[TRANSPORTATION_COST___RAW_DATA___FACTORY].[VENDOR].&amp;[HP điều xe]" c="HP điều xe"/>
              <i n="[TRANSPORTATION_COST___RAW_DATA___FACTORY].[VENDOR].&amp;[SENKO]" c="SENKO"/>
              <i n="[TRANSPORTATION_COST___RAW_DATA___FACTORY].[VENDOR].&amp;[TASETCO]" c="TASETCO"/>
            </range>
          </ranges>
        </level>
      </levels>
      <selections count="1">
        <selection n="[TRANSPORTATION_COST___RAW_DATA___FACTORY].[VENDO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i nhánh" xr10:uid="{0E0156ED-1BEC-49CB-A061-77BC7078592B}" cache="Slicer_Chi_nhánh" caption="BRANCH" columnCount="3" style="SlicerStyleLight4" rowHeight="241300"/>
  <slicer name="Chi nhánh 2" xr10:uid="{20AFD176-9E84-4537-806F-0D7B0CDBA0CA}" cache="Slicer_Chi_nhánh2" caption="BRANCH" startItem="2" level="1" style="SlicerStyleLight6" rowHeight="241300"/>
  <slicer name="Tháng 1" xr10:uid="{E362EE37-D7A8-4A4B-BA0C-01C4822FE9E0}" cache="Slicer_Tháng1" caption="MONTH" columnCount="2" level="1" style="SlicerStyleLight6" rowHeight="241300"/>
  <slicer name="Tháng" xr10:uid="{47AF2D71-5EF9-4A8C-A09D-257084EDDC4F}" cache="Slicer_Tháng" caption="MONTH" startItem="2" style="SlicerStyleLigh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i nhánh 1" xr10:uid="{31C706AE-5995-45A1-97B1-D3443F58DC20}" cache="Slicer_Chi_nhánh1" caption="BRANCH" level="1" style="SlicerStyleLight4" rowHeight="241300"/>
  <slicer name="Tháng 2" xr10:uid="{7BEE456E-2AFF-4762-99BB-DC1414B5DAFB}" cache="Slicer_Tháng2" caption="MONTH" startItem="2" level="1" style="SlicerStyleLight4" rowHeight="241300"/>
  <slicer name="Chi nhánh 3" xr10:uid="{52EACFF0-826B-40F2-BFD4-C42E15A89011}" cache="Slicer_Chi_nhánh3" caption="BRANCH" level="1" style="SlicerStyleLight6" rowHeight="241300"/>
  <slicer name="Tháng 3" xr10:uid="{ED7C70DF-ECD2-46C7-8CBC-407C16A45E3A}" cache="Slicer_Tháng3" caption="MONTH" columnCount="2" level="1" style="SlicerStyleLight6"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i nhánh 4" xr10:uid="{943C4DD4-BAA7-413A-B5B7-FC2BB371743C}" cache="Slicer_Chi_nhánh4" caption="BRANCH" columnCount="3" level="1" style="SlicerStyleLight4" rowHeight="241300"/>
  <slicer name="Tháng 4" xr10:uid="{41027270-8F89-4C9E-9569-DA145556FC70}" cache="Slicer_Tháng4" caption="MONTH" startItem="2" level="1" style="SlicerStyleLight4" rowHeight="241300"/>
  <slicer name="Chi nhánh 5" xr10:uid="{A0B4C140-F892-4EFE-BEEC-4C4B26B32EF1}" cache="Slicer_Chi_nhánh5" caption="BRANCH" startItem="3" level="1" style="SlicerStyleLight6" rowHeight="241300"/>
  <slicer name="Tháng 5" xr10:uid="{9331EC29-D324-4F9C-AC9F-1A7479CFBE9A}" cache="Slicer_Tháng5" caption="MONTH" columnCount="2" level="1" style="SlicerStyleLight6"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COPE 2" xr10:uid="{70738FEF-494E-4A39-8282-CA024D32827F}" cache="Slicer_SCOPE" caption="SCOPE" level="1" style="SlicerStyleLight6" rowHeight="241300"/>
  <slicer name="VENDOR" xr10:uid="{B53F3591-7C2E-4EC2-BBA2-20AF2662DCCF}" cache="Slicer_VENDOR" caption="VENDOR" level="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D" xr10:uid="{C46330C9-81B9-4C6D-BD8C-56A7C76233D1}" cache="Slicer_Branch" caption="BRANCH" columnCount="3" level="1" rowHeight="241300"/>
  <slicer name="Month" xr10:uid="{4C904D1F-2208-4A32-856C-343F8FFB40E2}" cache="Slicer_Month" caption="MONTH" columnCount="2" level="1" rowHeight="241300"/>
  <slicer name="SCOPE 1" xr10:uid="{494B7F8F-5786-441A-AA70-2AD35083A74C}" cache="Slicer_SCOPE" caption="SCOPE" level="1" rowHeight="241300"/>
  <slicer name="VENDOR 1" xr10:uid="{A8D6268C-78E0-46DE-9534-C36D946E3A00}" cache="Slicer_VENDOR" caption="VENDOR" columnCount="2"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EF1ADA-A8B0-4201-8A44-DAB46236588F}" name="Table_Raw_Data___LTL" displayName="Table_Raw_Data___LTL" ref="A1:E57" tableType="queryTable" totalsRowShown="0">
  <autoFilter ref="A1:E57" xr:uid="{21EF1ADA-A8B0-4201-8A44-DAB46236588F}"/>
  <tableColumns count="5">
    <tableColumn id="1" xr3:uid="{0326B8D9-7E26-4D17-8196-B1AD25E3EDFF}" uniqueName="1" name="Tháng" queryTableFieldId="1"/>
    <tableColumn id="2" xr3:uid="{7F61EA7E-98E7-4528-9229-A08D693C8092}" uniqueName="2" name="Chi nhánh" queryTableFieldId="2" dataDxfId="361"/>
    <tableColumn id="3" xr3:uid="{8AF2024E-17D7-491F-AB56-F00593A6758C}" uniqueName="3" name="Nhà vận tải" queryTableFieldId="3" dataDxfId="360"/>
    <tableColumn id="28" xr3:uid="{9A06A47A-49C7-49D7-9812-1BE8B89D89BE}" uniqueName="28" name="Chi Phí - LTL" queryTableFieldId="28"/>
    <tableColumn id="29" xr3:uid="{A8846194-7EEB-4F35-A470-189CE0B200BB}" uniqueName="29" name="KPI- LTL" queryTableFieldId="29" dataDxfId="35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E9E3341-6087-4EF2-B377-BF39D63FA9CF}" name="Table_Raw_Data__cẩu" displayName="Table_Raw_Data__cẩu" ref="A1:E9" tableType="queryTable" totalsRowShown="0">
  <autoFilter ref="A1:E9" xr:uid="{6E9E3341-6087-4EF2-B377-BF39D63FA9CF}"/>
  <tableColumns count="5">
    <tableColumn id="1" xr3:uid="{DE2D3ABD-134F-476B-B892-C571A082DAB3}" uniqueName="1" name="Tháng" queryTableFieldId="1"/>
    <tableColumn id="2" xr3:uid="{983FE658-A895-4758-922B-DCF8A3280507}" uniqueName="2" name="Chi nhánh" queryTableFieldId="2" dataDxfId="358"/>
    <tableColumn id="3" xr3:uid="{EE7D2CFF-B401-4895-8A60-2E9363B05FA9}" uniqueName="3" name="Nhà vận tải" queryTableFieldId="3" dataDxfId="357"/>
    <tableColumn id="28" xr3:uid="{89E459F0-A88B-4F39-9346-A7584B349152}" uniqueName="28" name="Chi Phí- Cẩu" queryTableFieldId="28"/>
    <tableColumn id="29" xr3:uid="{416917BF-1316-410A-BAD0-D87C4788C45B}" uniqueName="29" name="KPI- cẩu" queryTableFieldId="29" dataDxfId="35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E9C4F9C-D3B7-458F-9F6D-11EE46223BBD}" name="Table_Raw_Data___dài" displayName="Table_Raw_Data___dài" ref="A1:E38" tableType="queryTable" totalsRowShown="0">
  <autoFilter ref="A1:E38" xr:uid="{9E9C4F9C-D3B7-458F-9F6D-11EE46223BBD}"/>
  <tableColumns count="5">
    <tableColumn id="1" xr3:uid="{DF837099-0B87-42C9-8EF1-E27732DF410E}" uniqueName="1" name="Tháng" queryTableFieldId="1"/>
    <tableColumn id="2" xr3:uid="{E8103E2F-0FA6-4EFF-84CF-7103C5789F50}" uniqueName="2" name="Chi nhánh" queryTableFieldId="2" dataDxfId="355"/>
    <tableColumn id="3" xr3:uid="{53E40FA8-07A6-41F2-8EED-D4841ACD9604}" uniqueName="3" name="Nhà vận tải" queryTableFieldId="3" dataDxfId="354"/>
    <tableColumn id="28" xr3:uid="{075E004D-A6A6-4174-B133-AD0739B1B2B5}" uniqueName="28" name="Chi Phí- Dài" queryTableFieldId="28" dataDxfId="353" dataCellStyle="Comma"/>
    <tableColumn id="4" xr3:uid="{5BAC3347-37DA-4725-A794-8360B81EA26F}" uniqueName="4" name="KPI-dài" queryTableFieldId="3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A7700C-1863-45CC-8C22-683775031020}" name="Table_Raw_Data__ngắn" displayName="Table_Raw_Data__ngắn" ref="A1:E94" tableType="queryTable" totalsRowShown="0">
  <autoFilter ref="A1:E94" xr:uid="{6FA7700C-1863-45CC-8C22-683775031020}"/>
  <tableColumns count="5">
    <tableColumn id="4" xr3:uid="{483BE4D8-2B1B-4DCA-AC9C-CE94E3FB86F6}" uniqueName="4" name="Tháng" queryTableFieldId="4" dataDxfId="352"/>
    <tableColumn id="5" xr3:uid="{635AEC5B-7E30-41A7-AFA7-883905948FDB}" uniqueName="5" name="Chi nhánh" queryTableFieldId="5" dataDxfId="351"/>
    <tableColumn id="6" xr3:uid="{2B689132-CDF2-436C-AF97-32471F218EC5}" uniqueName="6" name="Nhà vận tải" queryTableFieldId="6" dataDxfId="350"/>
    <tableColumn id="1" xr3:uid="{8FAE1CBF-52E7-49A2-AACB-560BE34B4F8D}" uniqueName="1" name="Chi Phí - ngắn" queryTableFieldId="25"/>
    <tableColumn id="2" xr3:uid="{37F49737-3B25-4A81-AB59-4B8F16C20DDF}" uniqueName="2" name="KPI- ngắn" queryTableFieldId="26" dataDxfId="34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1090D3C-DB02-46CE-BE74-09A6BA40BB74}" name="TRANSPORTATION_COST___RAW_DATA___FACTORY" displayName="TRANSPORTATION_COST___RAW_DATA___FACTORY" ref="A1:G316" tableType="queryTable" totalsRowShown="0">
  <autoFilter ref="A1:G316" xr:uid="{51090D3C-DB02-46CE-BE74-09A6BA40BB74}"/>
  <tableColumns count="7">
    <tableColumn id="1" xr3:uid="{A5A89FA1-AACD-48AA-BF80-5B9D7ED15BBC}" uniqueName="1" name="Branch" queryTableFieldId="1" dataDxfId="402"/>
    <tableColumn id="2" xr3:uid="{06C061D5-E302-41E8-8E95-5B52E9B2417E}" uniqueName="2" name="Month" queryTableFieldId="2"/>
    <tableColumn id="3" xr3:uid="{2FEE2B70-AB8D-40D6-A73E-EA5C674297F8}" uniqueName="3" name="SCOPE" queryTableFieldId="3" dataDxfId="401"/>
    <tableColumn id="4" xr3:uid="{A37E4374-1C77-46EC-AE03-C050BB934BA2}" uniqueName="4" name="VENDOR" queryTableFieldId="4" dataDxfId="400"/>
    <tableColumn id="5" xr3:uid="{8C89B2BE-EC2E-4EB8-A09A-2740FA95B9A8}" uniqueName="5" name="Qty" queryTableFieldId="5"/>
    <tableColumn id="6" xr3:uid="{CCBEE16C-1DA4-460C-956A-3D1FBDC208CC}" uniqueName="6" name="CBM" queryTableFieldId="6"/>
    <tableColumn id="7" xr3:uid="{3F9743D2-80D8-4743-B213-7B24C37853AF}" uniqueName="7" name="Amount" queryTableFieldId="7" dataDxfId="348" dataCellStyle="Comma"/>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1.bin"/><Relationship Id="rId4" Type="http://schemas.openxmlformats.org/officeDocument/2006/relationships/pivotTable" Target="../pivotTables/pivotTable1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8" Type="http://schemas.microsoft.com/office/2007/relationships/slicer" Target="../slicers/slicer4.xml"/><Relationship Id="rId3" Type="http://schemas.openxmlformats.org/officeDocument/2006/relationships/pivotTable" Target="../pivotTables/pivotTable16.xml"/><Relationship Id="rId7" Type="http://schemas.openxmlformats.org/officeDocument/2006/relationships/drawing" Target="../drawings/drawing5.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ivotTable" Target="../pivotTables/pivotTable19.xml"/><Relationship Id="rId5" Type="http://schemas.openxmlformats.org/officeDocument/2006/relationships/pivotTable" Target="../pivotTables/pivotTable18.xml"/><Relationship Id="rId4" Type="http://schemas.openxmlformats.org/officeDocument/2006/relationships/pivotTable" Target="../pivotTables/pivotTable17.xml"/></Relationships>
</file>

<file path=xl/worksheets/_rels/sheet13.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16CF0-871D-4010-98DB-76336208E956}">
  <sheetPr codeName="Sheet1"/>
  <dimension ref="A1:E57"/>
  <sheetViews>
    <sheetView topLeftCell="A4" zoomScale="80" zoomScaleNormal="80" workbookViewId="0">
      <selection activeCell="G10" sqref="G10"/>
    </sheetView>
  </sheetViews>
  <sheetFormatPr defaultRowHeight="15" x14ac:dyDescent="0.25"/>
  <cols>
    <col min="1" max="1" width="9.42578125" bestFit="1" customWidth="1"/>
    <col min="2" max="2" width="12.7109375" bestFit="1" customWidth="1"/>
    <col min="3" max="3" width="14.28515625" bestFit="1" customWidth="1"/>
    <col min="4" max="4" width="14.5703125" bestFit="1" customWidth="1"/>
    <col min="5" max="5" width="13" bestFit="1" customWidth="1"/>
    <col min="6" max="6" width="43.85546875" bestFit="1" customWidth="1"/>
    <col min="7" max="7" width="12" bestFit="1" customWidth="1"/>
    <col min="8" max="8" width="11.140625" bestFit="1" customWidth="1"/>
    <col min="9" max="9" width="12" bestFit="1" customWidth="1"/>
    <col min="10" max="10" width="11.7109375" bestFit="1" customWidth="1"/>
    <col min="11" max="11" width="11.140625" bestFit="1" customWidth="1"/>
    <col min="12" max="13" width="12.140625" bestFit="1" customWidth="1"/>
    <col min="14" max="14" width="12" bestFit="1" customWidth="1"/>
    <col min="15" max="17" width="12.140625" bestFit="1" customWidth="1"/>
    <col min="18" max="18" width="11.7109375" bestFit="1" customWidth="1"/>
    <col min="19" max="21" width="12.140625" bestFit="1" customWidth="1"/>
    <col min="22" max="22" width="81.140625" bestFit="1" customWidth="1"/>
    <col min="23" max="23" width="74.85546875" bestFit="1" customWidth="1"/>
    <col min="24" max="24" width="12.140625" bestFit="1" customWidth="1"/>
    <col min="25" max="25" width="81.140625" bestFit="1" customWidth="1"/>
    <col min="26" max="29" width="12.140625" bestFit="1" customWidth="1"/>
  </cols>
  <sheetData>
    <row r="1" spans="1:5" x14ac:dyDescent="0.25">
      <c r="A1" t="s">
        <v>0</v>
      </c>
      <c r="B1" t="s">
        <v>1</v>
      </c>
      <c r="C1" t="s">
        <v>2</v>
      </c>
      <c r="D1" t="s">
        <v>36</v>
      </c>
      <c r="E1" t="s">
        <v>4</v>
      </c>
    </row>
    <row r="2" spans="1:5" x14ac:dyDescent="0.25">
      <c r="A2">
        <v>4</v>
      </c>
      <c r="B2" s="57" t="s">
        <v>5</v>
      </c>
      <c r="C2" s="57" t="s">
        <v>6</v>
      </c>
      <c r="D2">
        <v>215951.00000000003</v>
      </c>
      <c r="E2" s="57">
        <v>0.95599999999999996</v>
      </c>
    </row>
    <row r="3" spans="1:5" x14ac:dyDescent="0.25">
      <c r="A3">
        <v>4</v>
      </c>
      <c r="B3" s="57" t="s">
        <v>5</v>
      </c>
      <c r="C3" s="57" t="s">
        <v>7</v>
      </c>
      <c r="D3">
        <v>17102946</v>
      </c>
      <c r="E3" s="57">
        <v>0.97599999999999998</v>
      </c>
    </row>
    <row r="4" spans="1:5" x14ac:dyDescent="0.25">
      <c r="A4">
        <v>4</v>
      </c>
      <c r="B4" s="57" t="s">
        <v>5</v>
      </c>
      <c r="C4" s="57" t="s">
        <v>9</v>
      </c>
      <c r="D4">
        <v>88773979.999999985</v>
      </c>
      <c r="E4" s="57">
        <v>0.96099999999999997</v>
      </c>
    </row>
    <row r="5" spans="1:5" x14ac:dyDescent="0.25">
      <c r="A5">
        <v>4</v>
      </c>
      <c r="B5" s="57" t="s">
        <v>5</v>
      </c>
      <c r="C5" s="57" t="s">
        <v>10</v>
      </c>
      <c r="D5">
        <v>54157133.000000007</v>
      </c>
      <c r="E5" s="57">
        <v>0.96099999999999997</v>
      </c>
    </row>
    <row r="6" spans="1:5" x14ac:dyDescent="0.25">
      <c r="A6">
        <v>4</v>
      </c>
      <c r="B6" s="57" t="s">
        <v>15</v>
      </c>
      <c r="C6" s="57" t="s">
        <v>9</v>
      </c>
      <c r="D6">
        <v>125000</v>
      </c>
      <c r="E6" s="57">
        <v>1</v>
      </c>
    </row>
    <row r="7" spans="1:5" x14ac:dyDescent="0.25">
      <c r="A7">
        <v>4</v>
      </c>
      <c r="B7" s="57" t="s">
        <v>16</v>
      </c>
      <c r="C7" s="57" t="s">
        <v>10</v>
      </c>
      <c r="D7">
        <v>5652995.7424999997</v>
      </c>
      <c r="E7" s="57">
        <v>0.9</v>
      </c>
    </row>
    <row r="8" spans="1:5" x14ac:dyDescent="0.25">
      <c r="A8">
        <v>4</v>
      </c>
      <c r="B8" s="57" t="s">
        <v>19</v>
      </c>
      <c r="C8" s="57" t="s">
        <v>9</v>
      </c>
      <c r="D8">
        <v>3225000</v>
      </c>
      <c r="E8" s="57">
        <v>1</v>
      </c>
    </row>
    <row r="9" spans="1:5" x14ac:dyDescent="0.25">
      <c r="A9">
        <v>4</v>
      </c>
      <c r="B9" s="57" t="s">
        <v>22</v>
      </c>
      <c r="C9" s="57" t="s">
        <v>23</v>
      </c>
      <c r="D9">
        <v>7590250</v>
      </c>
      <c r="E9" s="57">
        <v>1</v>
      </c>
    </row>
    <row r="10" spans="1:5" x14ac:dyDescent="0.25">
      <c r="A10">
        <v>4</v>
      </c>
      <c r="B10" s="57" t="s">
        <v>28</v>
      </c>
      <c r="C10" s="57" t="s">
        <v>10</v>
      </c>
      <c r="D10">
        <v>10844925</v>
      </c>
      <c r="E10" s="57">
        <v>0.95</v>
      </c>
    </row>
    <row r="11" spans="1:5" x14ac:dyDescent="0.25">
      <c r="A11">
        <v>4</v>
      </c>
      <c r="B11" s="57" t="s">
        <v>32</v>
      </c>
      <c r="C11" s="57" t="s">
        <v>23</v>
      </c>
      <c r="D11">
        <v>533617732</v>
      </c>
      <c r="E11" s="57">
        <v>0.99807288016818507</v>
      </c>
    </row>
    <row r="12" spans="1:5" x14ac:dyDescent="0.25">
      <c r="A12">
        <v>4</v>
      </c>
      <c r="B12" s="57" t="s">
        <v>32</v>
      </c>
      <c r="C12" s="57" t="s">
        <v>33</v>
      </c>
      <c r="D12">
        <v>101097240</v>
      </c>
      <c r="E12" s="57">
        <v>0.97774566473988445</v>
      </c>
    </row>
    <row r="13" spans="1:5" x14ac:dyDescent="0.25">
      <c r="A13">
        <v>5</v>
      </c>
      <c r="B13" s="57" t="s">
        <v>5</v>
      </c>
      <c r="C13" s="57" t="s">
        <v>9</v>
      </c>
      <c r="D13">
        <v>104394309</v>
      </c>
      <c r="E13" s="57">
        <v>0.98199999999999998</v>
      </c>
    </row>
    <row r="14" spans="1:5" x14ac:dyDescent="0.25">
      <c r="A14">
        <v>5</v>
      </c>
      <c r="B14" s="57" t="s">
        <v>5</v>
      </c>
      <c r="C14" s="57" t="s">
        <v>10</v>
      </c>
      <c r="D14">
        <v>49301274</v>
      </c>
      <c r="E14" s="57">
        <v>0.93600000000000005</v>
      </c>
    </row>
    <row r="15" spans="1:5" x14ac:dyDescent="0.25">
      <c r="A15">
        <v>5</v>
      </c>
      <c r="B15" s="57" t="s">
        <v>12</v>
      </c>
      <c r="C15" s="57" t="s">
        <v>10</v>
      </c>
      <c r="D15">
        <v>1207000</v>
      </c>
      <c r="E15" s="57">
        <v>0.875</v>
      </c>
    </row>
    <row r="16" spans="1:5" x14ac:dyDescent="0.25">
      <c r="A16">
        <v>5</v>
      </c>
      <c r="B16" s="57" t="s">
        <v>12</v>
      </c>
      <c r="C16" s="57" t="s">
        <v>9</v>
      </c>
      <c r="D16">
        <v>1245000</v>
      </c>
      <c r="E16" s="57">
        <v>0.55000000000000004</v>
      </c>
    </row>
    <row r="17" spans="1:5" x14ac:dyDescent="0.25">
      <c r="A17">
        <v>5</v>
      </c>
      <c r="B17" s="57" t="s">
        <v>16</v>
      </c>
      <c r="C17" s="57" t="s">
        <v>10</v>
      </c>
      <c r="D17">
        <v>4879320.3125</v>
      </c>
      <c r="E17" s="57">
        <v>0.98750000000000004</v>
      </c>
    </row>
    <row r="18" spans="1:5" x14ac:dyDescent="0.25">
      <c r="A18">
        <v>5</v>
      </c>
      <c r="B18" s="57" t="s">
        <v>19</v>
      </c>
      <c r="C18" s="57" t="s">
        <v>9</v>
      </c>
      <c r="D18">
        <v>26617485</v>
      </c>
      <c r="E18" s="57">
        <v>1</v>
      </c>
    </row>
    <row r="19" spans="1:5" x14ac:dyDescent="0.25">
      <c r="A19">
        <v>5</v>
      </c>
      <c r="B19" s="57" t="s">
        <v>28</v>
      </c>
      <c r="C19" s="57" t="s">
        <v>10</v>
      </c>
      <c r="D19">
        <v>18032675.510280728</v>
      </c>
      <c r="E19" s="57">
        <v>0.96</v>
      </c>
    </row>
    <row r="20" spans="1:5" x14ac:dyDescent="0.25">
      <c r="A20">
        <v>5</v>
      </c>
      <c r="B20" s="57" t="s">
        <v>32</v>
      </c>
      <c r="C20" s="57" t="s">
        <v>23</v>
      </c>
      <c r="D20">
        <v>720863788</v>
      </c>
      <c r="E20" s="57">
        <v>0.99730964467005068</v>
      </c>
    </row>
    <row r="21" spans="1:5" x14ac:dyDescent="0.25">
      <c r="A21">
        <v>5</v>
      </c>
      <c r="B21" s="57" t="s">
        <v>32</v>
      </c>
      <c r="C21" s="57" t="s">
        <v>33</v>
      </c>
      <c r="D21">
        <v>157840620</v>
      </c>
      <c r="E21" s="57">
        <v>0.97743055555555547</v>
      </c>
    </row>
    <row r="22" spans="1:5" x14ac:dyDescent="0.25">
      <c r="A22">
        <v>7</v>
      </c>
      <c r="B22" s="57" t="s">
        <v>5</v>
      </c>
      <c r="C22" s="57" t="s">
        <v>9</v>
      </c>
      <c r="D22">
        <v>58660545</v>
      </c>
      <c r="E22" s="57">
        <v>0.97099999999999997</v>
      </c>
    </row>
    <row r="23" spans="1:5" x14ac:dyDescent="0.25">
      <c r="A23">
        <v>7</v>
      </c>
      <c r="B23" s="57" t="s">
        <v>5</v>
      </c>
      <c r="C23" s="57" t="s">
        <v>10</v>
      </c>
      <c r="D23">
        <v>26451197.000000004</v>
      </c>
      <c r="E23" s="57">
        <v>0.99099999999999999</v>
      </c>
    </row>
    <row r="24" spans="1:5" x14ac:dyDescent="0.25">
      <c r="A24">
        <v>7</v>
      </c>
      <c r="B24" s="57" t="s">
        <v>16</v>
      </c>
      <c r="C24" s="57" t="s">
        <v>10</v>
      </c>
      <c r="D24">
        <v>6569771</v>
      </c>
      <c r="E24" s="57">
        <v>0.97060000000000002</v>
      </c>
    </row>
    <row r="25" spans="1:5" x14ac:dyDescent="0.25">
      <c r="A25">
        <v>7</v>
      </c>
      <c r="B25" s="57" t="s">
        <v>16</v>
      </c>
      <c r="C25" s="57" t="s">
        <v>9</v>
      </c>
      <c r="D25">
        <v>8978894</v>
      </c>
      <c r="E25" s="57">
        <v>0.99329999999999996</v>
      </c>
    </row>
    <row r="26" spans="1:5" x14ac:dyDescent="0.25">
      <c r="A26">
        <v>7</v>
      </c>
      <c r="B26" s="57" t="s">
        <v>19</v>
      </c>
      <c r="C26" s="57" t="s">
        <v>9</v>
      </c>
      <c r="D26">
        <v>22168279</v>
      </c>
      <c r="E26" s="57">
        <v>1</v>
      </c>
    </row>
    <row r="27" spans="1:5" x14ac:dyDescent="0.25">
      <c r="A27">
        <v>7</v>
      </c>
      <c r="B27" s="57" t="s">
        <v>22</v>
      </c>
      <c r="C27" s="57" t="s">
        <v>23</v>
      </c>
      <c r="D27">
        <v>4921690</v>
      </c>
      <c r="E27" s="57">
        <v>1</v>
      </c>
    </row>
    <row r="28" spans="1:5" x14ac:dyDescent="0.25">
      <c r="A28">
        <v>7</v>
      </c>
      <c r="B28" s="57" t="s">
        <v>22</v>
      </c>
      <c r="C28" s="57" t="s">
        <v>9</v>
      </c>
      <c r="D28">
        <v>546508</v>
      </c>
      <c r="E28" s="57">
        <v>0.9</v>
      </c>
    </row>
    <row r="29" spans="1:5" x14ac:dyDescent="0.25">
      <c r="A29">
        <v>7</v>
      </c>
      <c r="B29" s="57" t="s">
        <v>28</v>
      </c>
      <c r="C29" s="57" t="s">
        <v>10</v>
      </c>
      <c r="D29">
        <v>7345735</v>
      </c>
      <c r="E29" s="57">
        <v>0.96750000000000003</v>
      </c>
    </row>
    <row r="30" spans="1:5" x14ac:dyDescent="0.25">
      <c r="A30">
        <v>7</v>
      </c>
      <c r="B30" s="57" t="s">
        <v>28</v>
      </c>
      <c r="C30" s="57" t="s">
        <v>9</v>
      </c>
      <c r="D30">
        <v>11794558.666666668</v>
      </c>
      <c r="E30" s="57">
        <v>0.97</v>
      </c>
    </row>
    <row r="31" spans="1:5" x14ac:dyDescent="0.25">
      <c r="A31">
        <v>7</v>
      </c>
      <c r="B31" s="57" t="s">
        <v>32</v>
      </c>
      <c r="C31" s="57" t="s">
        <v>23</v>
      </c>
      <c r="D31">
        <v>782610768</v>
      </c>
      <c r="E31" s="57">
        <v>0.98829999999999996</v>
      </c>
    </row>
    <row r="32" spans="1:5" x14ac:dyDescent="0.25">
      <c r="A32">
        <v>7</v>
      </c>
      <c r="B32" s="57" t="s">
        <v>32</v>
      </c>
      <c r="C32" s="57" t="s">
        <v>33</v>
      </c>
      <c r="D32">
        <v>141563680</v>
      </c>
      <c r="E32" s="57">
        <v>0.95820000000000005</v>
      </c>
    </row>
    <row r="33" spans="1:5" x14ac:dyDescent="0.25">
      <c r="A33">
        <v>7</v>
      </c>
      <c r="B33" s="57" t="s">
        <v>32</v>
      </c>
      <c r="C33" s="57" t="s">
        <v>9</v>
      </c>
      <c r="D33">
        <v>4486920</v>
      </c>
      <c r="E33" s="57">
        <v>0.73329999999999995</v>
      </c>
    </row>
    <row r="34" spans="1:5" x14ac:dyDescent="0.25">
      <c r="A34">
        <v>7</v>
      </c>
      <c r="B34" s="57" t="s">
        <v>32</v>
      </c>
      <c r="C34" s="57" t="s">
        <v>10</v>
      </c>
      <c r="D34">
        <v>918150</v>
      </c>
      <c r="E34" s="57">
        <v>0.55000000000000004</v>
      </c>
    </row>
    <row r="35" spans="1:5" x14ac:dyDescent="0.25">
      <c r="A35">
        <v>8</v>
      </c>
      <c r="B35" s="57" t="s">
        <v>5</v>
      </c>
      <c r="C35" s="57" t="s">
        <v>9</v>
      </c>
      <c r="D35">
        <v>58121008.999999963</v>
      </c>
      <c r="E35" s="57">
        <v>0.96399999999999997</v>
      </c>
    </row>
    <row r="36" spans="1:5" x14ac:dyDescent="0.25">
      <c r="A36">
        <v>8</v>
      </c>
      <c r="B36" s="57" t="s">
        <v>5</v>
      </c>
      <c r="C36" s="57" t="s">
        <v>10</v>
      </c>
      <c r="D36">
        <v>28586544</v>
      </c>
      <c r="E36" s="57">
        <v>0.95</v>
      </c>
    </row>
    <row r="37" spans="1:5" x14ac:dyDescent="0.25">
      <c r="A37">
        <v>8</v>
      </c>
      <c r="B37" s="57" t="s">
        <v>12</v>
      </c>
      <c r="C37" s="57" t="s">
        <v>10</v>
      </c>
      <c r="D37">
        <v>1181105</v>
      </c>
      <c r="E37" s="57">
        <v>0.77500000000000002</v>
      </c>
    </row>
    <row r="38" spans="1:5" x14ac:dyDescent="0.25">
      <c r="A38">
        <v>8</v>
      </c>
      <c r="B38" s="57" t="s">
        <v>15</v>
      </c>
      <c r="C38" s="57" t="s">
        <v>10</v>
      </c>
      <c r="D38">
        <v>425850</v>
      </c>
      <c r="E38" s="57">
        <v>0.9</v>
      </c>
    </row>
    <row r="39" spans="1:5" x14ac:dyDescent="0.25">
      <c r="A39">
        <v>8</v>
      </c>
      <c r="B39" s="57" t="s">
        <v>16</v>
      </c>
      <c r="C39" s="57" t="s">
        <v>10</v>
      </c>
      <c r="D39">
        <v>6300961</v>
      </c>
      <c r="E39" s="57">
        <v>0.97140000000000004</v>
      </c>
    </row>
    <row r="40" spans="1:5" x14ac:dyDescent="0.25">
      <c r="A40">
        <v>8</v>
      </c>
      <c r="B40" s="57" t="s">
        <v>16</v>
      </c>
      <c r="C40" s="57" t="s">
        <v>9</v>
      </c>
      <c r="D40">
        <v>5338106</v>
      </c>
      <c r="E40" s="57">
        <v>0.97309999999999997</v>
      </c>
    </row>
    <row r="41" spans="1:5" x14ac:dyDescent="0.25">
      <c r="A41">
        <v>8</v>
      </c>
      <c r="B41" s="57" t="s">
        <v>19</v>
      </c>
      <c r="C41" s="57" t="s">
        <v>9</v>
      </c>
      <c r="D41">
        <v>21612541</v>
      </c>
      <c r="E41" s="57">
        <v>1</v>
      </c>
    </row>
    <row r="42" spans="1:5" x14ac:dyDescent="0.25">
      <c r="A42">
        <v>8</v>
      </c>
      <c r="B42" s="57" t="s">
        <v>22</v>
      </c>
      <c r="C42" s="57" t="s">
        <v>23</v>
      </c>
      <c r="D42">
        <v>5164500</v>
      </c>
      <c r="E42" s="57">
        <v>1</v>
      </c>
    </row>
    <row r="43" spans="1:5" x14ac:dyDescent="0.25">
      <c r="A43">
        <v>8</v>
      </c>
      <c r="B43" s="57" t="s">
        <v>28</v>
      </c>
      <c r="C43" s="57" t="s">
        <v>10</v>
      </c>
      <c r="D43">
        <v>12144585</v>
      </c>
      <c r="E43" s="57">
        <v>0.96</v>
      </c>
    </row>
    <row r="44" spans="1:5" x14ac:dyDescent="0.25">
      <c r="A44">
        <v>8</v>
      </c>
      <c r="B44" s="57" t="s">
        <v>28</v>
      </c>
      <c r="C44" s="57" t="s">
        <v>9</v>
      </c>
      <c r="D44">
        <v>22657050</v>
      </c>
      <c r="E44" s="57">
        <v>0.88</v>
      </c>
    </row>
    <row r="45" spans="1:5" x14ac:dyDescent="0.25">
      <c r="A45">
        <v>8</v>
      </c>
      <c r="B45" s="57" t="s">
        <v>32</v>
      </c>
      <c r="C45" s="57" t="s">
        <v>23</v>
      </c>
      <c r="D45">
        <v>537140114</v>
      </c>
      <c r="E45" s="57">
        <v>0.99850000000000005</v>
      </c>
    </row>
    <row r="46" spans="1:5" x14ac:dyDescent="0.25">
      <c r="A46">
        <v>8</v>
      </c>
      <c r="B46" s="57" t="s">
        <v>32</v>
      </c>
      <c r="C46" s="57" t="s">
        <v>33</v>
      </c>
      <c r="D46">
        <v>127165400</v>
      </c>
      <c r="E46" s="57">
        <v>0.97170000000000001</v>
      </c>
    </row>
    <row r="47" spans="1:5" x14ac:dyDescent="0.25">
      <c r="A47">
        <v>6</v>
      </c>
      <c r="B47" s="57" t="s">
        <v>5</v>
      </c>
      <c r="C47" s="57" t="s">
        <v>9</v>
      </c>
      <c r="D47">
        <v>91285793</v>
      </c>
      <c r="E47" s="57">
        <v>0.98199999999999998</v>
      </c>
    </row>
    <row r="48" spans="1:5" x14ac:dyDescent="0.25">
      <c r="A48">
        <v>6</v>
      </c>
      <c r="B48" s="57" t="s">
        <v>5</v>
      </c>
      <c r="C48" s="57" t="s">
        <v>10</v>
      </c>
      <c r="D48">
        <v>24683575</v>
      </c>
      <c r="E48" s="57">
        <v>0.96099999999999997</v>
      </c>
    </row>
    <row r="49" spans="1:5" x14ac:dyDescent="0.25">
      <c r="A49">
        <v>6</v>
      </c>
      <c r="B49" s="57" t="s">
        <v>12</v>
      </c>
      <c r="C49" s="57" t="s">
        <v>10</v>
      </c>
      <c r="D49">
        <v>577800</v>
      </c>
      <c r="E49" s="57">
        <v>0.75</v>
      </c>
    </row>
    <row r="50" spans="1:5" x14ac:dyDescent="0.25">
      <c r="A50">
        <v>6</v>
      </c>
      <c r="B50" s="57" t="s">
        <v>16</v>
      </c>
      <c r="C50" s="57" t="s">
        <v>10</v>
      </c>
      <c r="D50">
        <v>3712934</v>
      </c>
      <c r="E50" s="57">
        <v>0.98570000000000002</v>
      </c>
    </row>
    <row r="51" spans="1:5" x14ac:dyDescent="0.25">
      <c r="A51">
        <v>6</v>
      </c>
      <c r="B51" s="57" t="s">
        <v>16</v>
      </c>
      <c r="C51" s="57" t="s">
        <v>9</v>
      </c>
      <c r="D51">
        <v>1728800</v>
      </c>
      <c r="E51" s="57">
        <v>0.98570000000000002</v>
      </c>
    </row>
    <row r="52" spans="1:5" x14ac:dyDescent="0.25">
      <c r="A52">
        <v>6</v>
      </c>
      <c r="B52" s="57" t="s">
        <v>19</v>
      </c>
      <c r="C52" s="57" t="s">
        <v>9</v>
      </c>
      <c r="D52">
        <v>12824102.5</v>
      </c>
      <c r="E52" s="57">
        <v>1</v>
      </c>
    </row>
    <row r="53" spans="1:5" x14ac:dyDescent="0.25">
      <c r="A53">
        <v>6</v>
      </c>
      <c r="B53" s="57" t="s">
        <v>22</v>
      </c>
      <c r="C53" s="57" t="s">
        <v>9</v>
      </c>
      <c r="D53">
        <v>58334100</v>
      </c>
      <c r="E53" s="57">
        <v>0.99829999999999997</v>
      </c>
    </row>
    <row r="54" spans="1:5" x14ac:dyDescent="0.25">
      <c r="A54">
        <v>6</v>
      </c>
      <c r="B54" s="57" t="s">
        <v>28</v>
      </c>
      <c r="C54" s="57" t="s">
        <v>10</v>
      </c>
      <c r="D54">
        <v>8491717.4592000004</v>
      </c>
      <c r="E54" s="57">
        <v>0.9425</v>
      </c>
    </row>
    <row r="55" spans="1:5" x14ac:dyDescent="0.25">
      <c r="A55">
        <v>6</v>
      </c>
      <c r="B55" s="57" t="s">
        <v>28</v>
      </c>
      <c r="C55" s="57" t="s">
        <v>9</v>
      </c>
      <c r="D55">
        <v>8257541.666666667</v>
      </c>
      <c r="E55" s="57">
        <v>0.97499999999999998</v>
      </c>
    </row>
    <row r="56" spans="1:5" x14ac:dyDescent="0.25">
      <c r="A56">
        <v>6</v>
      </c>
      <c r="B56" s="57" t="s">
        <v>32</v>
      </c>
      <c r="C56" s="57" t="s">
        <v>23</v>
      </c>
      <c r="D56">
        <v>654225622</v>
      </c>
      <c r="E56" s="57">
        <v>0.99719999999999998</v>
      </c>
    </row>
    <row r="57" spans="1:5" x14ac:dyDescent="0.25">
      <c r="A57">
        <v>6</v>
      </c>
      <c r="B57" s="57" t="s">
        <v>32</v>
      </c>
      <c r="C57" s="57" t="s">
        <v>33</v>
      </c>
      <c r="D57">
        <v>157493040</v>
      </c>
      <c r="E57" s="57">
        <v>0.97840000000000005</v>
      </c>
    </row>
  </sheetData>
  <phoneticPr fontId="1"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460B5-36B8-4CC1-A8CC-E6510ED0BE91}">
  <sheetPr codeName="Sheet2"/>
  <dimension ref="A1:E9"/>
  <sheetViews>
    <sheetView workbookViewId="0">
      <selection activeCell="G10" sqref="G10"/>
    </sheetView>
  </sheetViews>
  <sheetFormatPr defaultRowHeight="15" x14ac:dyDescent="0.25"/>
  <cols>
    <col min="1" max="1" width="8.5703125" bestFit="1" customWidth="1"/>
    <col min="2" max="2" width="12.140625" bestFit="1" customWidth="1"/>
    <col min="3" max="3" width="17.85546875" bestFit="1" customWidth="1"/>
    <col min="4" max="4" width="13.85546875" bestFit="1" customWidth="1"/>
    <col min="5" max="5" width="10.28515625" bestFit="1" customWidth="1"/>
    <col min="6" max="6" width="43.85546875" bestFit="1" customWidth="1"/>
    <col min="7" max="7" width="12" bestFit="1" customWidth="1"/>
    <col min="8" max="8" width="11.140625" bestFit="1" customWidth="1"/>
    <col min="9" max="9" width="12" bestFit="1" customWidth="1"/>
    <col min="10" max="10" width="11.7109375" bestFit="1" customWidth="1"/>
    <col min="11" max="11" width="11.140625" bestFit="1" customWidth="1"/>
    <col min="12" max="13" width="12.140625" bestFit="1" customWidth="1"/>
    <col min="14" max="14" width="12" bestFit="1" customWidth="1"/>
    <col min="15" max="17" width="12.140625" bestFit="1" customWidth="1"/>
    <col min="18" max="18" width="11.7109375" bestFit="1" customWidth="1"/>
    <col min="19" max="21" width="12.140625" bestFit="1" customWidth="1"/>
    <col min="22" max="22" width="81.140625" bestFit="1" customWidth="1"/>
    <col min="23" max="23" width="74.85546875" bestFit="1" customWidth="1"/>
    <col min="24" max="24" width="12.140625" bestFit="1" customWidth="1"/>
    <col min="25" max="25" width="81.140625" bestFit="1" customWidth="1"/>
    <col min="26" max="29" width="12.140625" bestFit="1" customWidth="1"/>
  </cols>
  <sheetData>
    <row r="1" spans="1:5" x14ac:dyDescent="0.25">
      <c r="A1" t="s">
        <v>0</v>
      </c>
      <c r="B1" t="s">
        <v>1</v>
      </c>
      <c r="C1" t="s">
        <v>2</v>
      </c>
      <c r="D1" t="s">
        <v>37</v>
      </c>
      <c r="E1" t="s">
        <v>3</v>
      </c>
    </row>
    <row r="2" spans="1:5" x14ac:dyDescent="0.25">
      <c r="A2">
        <v>4</v>
      </c>
      <c r="B2" s="57" t="s">
        <v>28</v>
      </c>
      <c r="C2" s="57" t="s">
        <v>30</v>
      </c>
      <c r="D2">
        <v>111267500</v>
      </c>
      <c r="E2" s="57">
        <v>0.94299999999999995</v>
      </c>
    </row>
    <row r="3" spans="1:5" x14ac:dyDescent="0.25">
      <c r="A3">
        <v>4</v>
      </c>
      <c r="B3" s="57" t="s">
        <v>32</v>
      </c>
      <c r="C3" s="57" t="s">
        <v>30</v>
      </c>
      <c r="D3">
        <v>3240000</v>
      </c>
      <c r="E3" s="57">
        <v>1</v>
      </c>
    </row>
    <row r="4" spans="1:5" x14ac:dyDescent="0.25">
      <c r="A4">
        <v>5</v>
      </c>
      <c r="B4" s="57" t="s">
        <v>28</v>
      </c>
      <c r="C4" s="57" t="s">
        <v>30</v>
      </c>
      <c r="D4">
        <v>36185000</v>
      </c>
      <c r="E4" s="57">
        <v>0.95399999999999996</v>
      </c>
    </row>
    <row r="5" spans="1:5" x14ac:dyDescent="0.25">
      <c r="A5">
        <v>5</v>
      </c>
      <c r="B5" s="57" t="s">
        <v>32</v>
      </c>
      <c r="C5" s="57" t="s">
        <v>30</v>
      </c>
      <c r="D5">
        <v>2700000</v>
      </c>
      <c r="E5" s="57">
        <v>1</v>
      </c>
    </row>
    <row r="6" spans="1:5" x14ac:dyDescent="0.25">
      <c r="A6">
        <v>7</v>
      </c>
      <c r="B6" s="57" t="s">
        <v>28</v>
      </c>
      <c r="C6" s="57" t="s">
        <v>30</v>
      </c>
      <c r="D6">
        <v>67728000</v>
      </c>
      <c r="E6" s="57">
        <v>0.95899999999999996</v>
      </c>
    </row>
    <row r="7" spans="1:5" x14ac:dyDescent="0.25">
      <c r="A7">
        <v>7</v>
      </c>
      <c r="B7" s="57" t="s">
        <v>32</v>
      </c>
      <c r="C7" s="57" t="s">
        <v>30</v>
      </c>
      <c r="D7">
        <v>3925000</v>
      </c>
      <c r="E7" s="57">
        <v>0.55000000000000004</v>
      </c>
    </row>
    <row r="8" spans="1:5" x14ac:dyDescent="0.25">
      <c r="A8">
        <v>8</v>
      </c>
      <c r="B8" s="57" t="s">
        <v>28</v>
      </c>
      <c r="C8" s="57" t="s">
        <v>30</v>
      </c>
      <c r="D8">
        <v>88366000</v>
      </c>
      <c r="E8" s="57">
        <v>0.95899999999999996</v>
      </c>
    </row>
    <row r="9" spans="1:5" x14ac:dyDescent="0.25">
      <c r="A9">
        <v>6</v>
      </c>
      <c r="B9" s="57" t="s">
        <v>28</v>
      </c>
      <c r="C9" s="57" t="s">
        <v>30</v>
      </c>
      <c r="D9">
        <v>51181500</v>
      </c>
      <c r="E9" s="57">
        <v>0.95799999999999996</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651F8-AC22-4374-8068-5F90FD4DFEB5}">
  <sheetPr codeName="Sheet3"/>
  <dimension ref="A1:E38"/>
  <sheetViews>
    <sheetView workbookViewId="0">
      <selection activeCell="G10" sqref="G10"/>
    </sheetView>
  </sheetViews>
  <sheetFormatPr defaultRowHeight="15" x14ac:dyDescent="0.25"/>
  <cols>
    <col min="1" max="1" width="8.5703125" bestFit="1" customWidth="1"/>
    <col min="2" max="2" width="12.140625" bestFit="1" customWidth="1"/>
    <col min="3" max="3" width="17.7109375" bestFit="1" customWidth="1"/>
    <col min="4" max="4" width="15.28515625" bestFit="1" customWidth="1"/>
    <col min="5" max="5" width="9.5703125" bestFit="1" customWidth="1"/>
    <col min="6" max="6" width="10" bestFit="1" customWidth="1"/>
    <col min="7" max="7" width="43.85546875" bestFit="1" customWidth="1"/>
    <col min="8" max="8" width="12" bestFit="1" customWidth="1"/>
    <col min="9" max="9" width="11.140625" bestFit="1" customWidth="1"/>
    <col min="10" max="10" width="12" bestFit="1" customWidth="1"/>
    <col min="11" max="11" width="11.7109375" bestFit="1" customWidth="1"/>
    <col min="12" max="12" width="11.140625" bestFit="1" customWidth="1"/>
    <col min="13" max="14" width="12.140625" bestFit="1" customWidth="1"/>
    <col min="15" max="15" width="12" bestFit="1" customWidth="1"/>
    <col min="16" max="18" width="12.140625" bestFit="1" customWidth="1"/>
    <col min="19" max="19" width="11.7109375" bestFit="1" customWidth="1"/>
    <col min="20" max="22" width="12.140625" bestFit="1" customWidth="1"/>
    <col min="23" max="23" width="81.140625" bestFit="1" customWidth="1"/>
    <col min="24" max="24" width="74.85546875" bestFit="1" customWidth="1"/>
    <col min="25" max="25" width="12.140625" bestFit="1" customWidth="1"/>
    <col min="26" max="26" width="81.140625" bestFit="1" customWidth="1"/>
    <col min="27" max="30" width="12.140625" bestFit="1" customWidth="1"/>
  </cols>
  <sheetData>
    <row r="1" spans="1:5" x14ac:dyDescent="0.25">
      <c r="A1" t="s">
        <v>0</v>
      </c>
      <c r="B1" t="s">
        <v>1</v>
      </c>
      <c r="C1" t="s">
        <v>2</v>
      </c>
      <c r="D1" t="s">
        <v>38</v>
      </c>
      <c r="E1" t="s">
        <v>39</v>
      </c>
    </row>
    <row r="2" spans="1:5" x14ac:dyDescent="0.25">
      <c r="A2">
        <v>4</v>
      </c>
      <c r="B2" s="57" t="s">
        <v>5</v>
      </c>
      <c r="C2" s="57" t="s">
        <v>7</v>
      </c>
      <c r="D2" s="21">
        <v>15671000</v>
      </c>
      <c r="E2">
        <v>1</v>
      </c>
    </row>
    <row r="3" spans="1:5" x14ac:dyDescent="0.25">
      <c r="A3">
        <v>4</v>
      </c>
      <c r="B3" s="57" t="s">
        <v>5</v>
      </c>
      <c r="C3" s="57" t="s">
        <v>31</v>
      </c>
      <c r="D3" s="21">
        <v>21905000</v>
      </c>
      <c r="E3">
        <v>1</v>
      </c>
    </row>
    <row r="4" spans="1:5" x14ac:dyDescent="0.25">
      <c r="A4">
        <v>4</v>
      </c>
      <c r="B4" s="57" t="s">
        <v>22</v>
      </c>
      <c r="C4" s="57" t="s">
        <v>11</v>
      </c>
      <c r="D4" s="21">
        <v>221062000</v>
      </c>
      <c r="E4">
        <v>0.98</v>
      </c>
    </row>
    <row r="5" spans="1:5" x14ac:dyDescent="0.25">
      <c r="A5">
        <v>4</v>
      </c>
      <c r="B5" s="57" t="s">
        <v>28</v>
      </c>
      <c r="C5" s="57" t="s">
        <v>18</v>
      </c>
      <c r="D5" s="21">
        <v>133350000</v>
      </c>
      <c r="E5">
        <v>1</v>
      </c>
    </row>
    <row r="6" spans="1:5" x14ac:dyDescent="0.25">
      <c r="A6">
        <v>4</v>
      </c>
      <c r="B6" s="57" t="s">
        <v>28</v>
      </c>
      <c r="C6" s="57" t="s">
        <v>27</v>
      </c>
      <c r="D6" s="21">
        <v>120660000</v>
      </c>
      <c r="E6">
        <v>1</v>
      </c>
    </row>
    <row r="7" spans="1:5" x14ac:dyDescent="0.25">
      <c r="A7">
        <v>4</v>
      </c>
      <c r="B7" s="57" t="s">
        <v>28</v>
      </c>
      <c r="C7" s="57" t="s">
        <v>20</v>
      </c>
      <c r="D7" s="21">
        <v>66148000</v>
      </c>
      <c r="E7">
        <v>1</v>
      </c>
    </row>
    <row r="8" spans="1:5" x14ac:dyDescent="0.25">
      <c r="A8">
        <v>4</v>
      </c>
      <c r="B8" s="57" t="s">
        <v>28</v>
      </c>
      <c r="C8" s="57" t="s">
        <v>31</v>
      </c>
      <c r="D8" s="21">
        <v>321152282.81868291</v>
      </c>
      <c r="E8">
        <v>0.98</v>
      </c>
    </row>
    <row r="9" spans="1:5" x14ac:dyDescent="0.25">
      <c r="A9">
        <v>4</v>
      </c>
      <c r="B9" s="57" t="s">
        <v>28</v>
      </c>
      <c r="C9" s="57" t="s">
        <v>11</v>
      </c>
      <c r="D9" s="21">
        <v>116698000</v>
      </c>
      <c r="E9">
        <v>1</v>
      </c>
    </row>
    <row r="10" spans="1:5" x14ac:dyDescent="0.25">
      <c r="A10">
        <v>5</v>
      </c>
      <c r="B10" s="57" t="s">
        <v>5</v>
      </c>
      <c r="C10" s="57" t="s">
        <v>6</v>
      </c>
      <c r="D10" s="21">
        <v>12909000</v>
      </c>
      <c r="E10">
        <v>0.93799999999999994</v>
      </c>
    </row>
    <row r="11" spans="1:5" x14ac:dyDescent="0.25">
      <c r="A11">
        <v>5</v>
      </c>
      <c r="B11" s="57" t="s">
        <v>5</v>
      </c>
      <c r="C11" s="57" t="s">
        <v>8</v>
      </c>
      <c r="D11" s="21">
        <v>18732000</v>
      </c>
      <c r="E11">
        <v>0.9</v>
      </c>
    </row>
    <row r="12" spans="1:5" x14ac:dyDescent="0.25">
      <c r="A12">
        <v>5</v>
      </c>
      <c r="B12" s="57" t="s">
        <v>5</v>
      </c>
      <c r="C12" s="57" t="s">
        <v>11</v>
      </c>
      <c r="D12" s="21">
        <v>55266000</v>
      </c>
      <c r="E12">
        <v>1</v>
      </c>
    </row>
    <row r="13" spans="1:5" x14ac:dyDescent="0.25">
      <c r="A13">
        <v>5</v>
      </c>
      <c r="B13" s="57" t="s">
        <v>22</v>
      </c>
      <c r="C13" s="57" t="s">
        <v>11</v>
      </c>
      <c r="D13" s="21">
        <v>360541000</v>
      </c>
      <c r="E13">
        <v>0.95</v>
      </c>
    </row>
    <row r="14" spans="1:5" x14ac:dyDescent="0.25">
      <c r="A14">
        <v>5</v>
      </c>
      <c r="B14" s="57" t="s">
        <v>28</v>
      </c>
      <c r="C14" s="57" t="s">
        <v>18</v>
      </c>
      <c r="D14" s="21">
        <v>113838000</v>
      </c>
      <c r="E14">
        <v>0.97270000000000001</v>
      </c>
    </row>
    <row r="15" spans="1:5" x14ac:dyDescent="0.25">
      <c r="A15">
        <v>5</v>
      </c>
      <c r="B15" s="57" t="s">
        <v>28</v>
      </c>
      <c r="C15" s="57" t="s">
        <v>27</v>
      </c>
      <c r="D15" s="21">
        <v>108036500</v>
      </c>
      <c r="E15">
        <v>0.94550000000000001</v>
      </c>
    </row>
    <row r="16" spans="1:5" x14ac:dyDescent="0.25">
      <c r="A16">
        <v>5</v>
      </c>
      <c r="B16" s="57" t="s">
        <v>28</v>
      </c>
      <c r="C16" s="57" t="s">
        <v>20</v>
      </c>
      <c r="D16" s="21">
        <v>80528000</v>
      </c>
      <c r="E16">
        <v>1</v>
      </c>
    </row>
    <row r="17" spans="1:5" x14ac:dyDescent="0.25">
      <c r="A17">
        <v>5</v>
      </c>
      <c r="B17" s="57" t="s">
        <v>28</v>
      </c>
      <c r="C17" s="57" t="s">
        <v>31</v>
      </c>
      <c r="D17" s="21">
        <v>184315215.50957605</v>
      </c>
      <c r="E17">
        <v>0.93300000000000005</v>
      </c>
    </row>
    <row r="18" spans="1:5" x14ac:dyDescent="0.25">
      <c r="A18">
        <v>5</v>
      </c>
      <c r="B18" s="57" t="s">
        <v>28</v>
      </c>
      <c r="C18" s="57" t="s">
        <v>11</v>
      </c>
      <c r="D18" s="21">
        <v>145003000</v>
      </c>
      <c r="E18">
        <v>1</v>
      </c>
    </row>
    <row r="19" spans="1:5" x14ac:dyDescent="0.25">
      <c r="A19">
        <v>7</v>
      </c>
      <c r="B19" s="57" t="s">
        <v>22</v>
      </c>
      <c r="C19" s="57" t="s">
        <v>11</v>
      </c>
      <c r="D19" s="21">
        <v>289328000</v>
      </c>
      <c r="E19">
        <v>1</v>
      </c>
    </row>
    <row r="20" spans="1:5" x14ac:dyDescent="0.25">
      <c r="A20">
        <v>7</v>
      </c>
      <c r="B20" s="57" t="s">
        <v>28</v>
      </c>
      <c r="C20" s="57" t="s">
        <v>18</v>
      </c>
      <c r="D20" s="21">
        <v>57749000</v>
      </c>
      <c r="E20">
        <v>1</v>
      </c>
    </row>
    <row r="21" spans="1:5" x14ac:dyDescent="0.25">
      <c r="A21">
        <v>7</v>
      </c>
      <c r="B21" s="57" t="s">
        <v>28</v>
      </c>
      <c r="C21" s="57" t="s">
        <v>27</v>
      </c>
      <c r="D21" s="21">
        <v>59344000</v>
      </c>
      <c r="E21">
        <v>1</v>
      </c>
    </row>
    <row r="22" spans="1:5" x14ac:dyDescent="0.25">
      <c r="A22">
        <v>7</v>
      </c>
      <c r="B22" s="57" t="s">
        <v>28</v>
      </c>
      <c r="C22" s="57" t="s">
        <v>20</v>
      </c>
      <c r="D22" s="21">
        <v>38529000</v>
      </c>
      <c r="E22">
        <v>1</v>
      </c>
    </row>
    <row r="23" spans="1:5" x14ac:dyDescent="0.25">
      <c r="A23">
        <v>7</v>
      </c>
      <c r="B23" s="57" t="s">
        <v>28</v>
      </c>
      <c r="C23" s="57" t="s">
        <v>31</v>
      </c>
      <c r="D23" s="21">
        <v>106074000</v>
      </c>
      <c r="E23">
        <v>1</v>
      </c>
    </row>
    <row r="24" spans="1:5" x14ac:dyDescent="0.25">
      <c r="A24">
        <v>7</v>
      </c>
      <c r="B24" s="57" t="s">
        <v>28</v>
      </c>
      <c r="C24" s="57" t="s">
        <v>11</v>
      </c>
      <c r="D24" s="21">
        <v>129405000</v>
      </c>
      <c r="E24">
        <v>0.95</v>
      </c>
    </row>
    <row r="25" spans="1:5" x14ac:dyDescent="0.25">
      <c r="A25">
        <v>8</v>
      </c>
      <c r="B25" s="57" t="s">
        <v>5</v>
      </c>
      <c r="C25" s="57" t="s">
        <v>11</v>
      </c>
      <c r="D25" s="21">
        <v>16948000</v>
      </c>
      <c r="E25">
        <v>1</v>
      </c>
    </row>
    <row r="26" spans="1:5" x14ac:dyDescent="0.25">
      <c r="A26">
        <v>8</v>
      </c>
      <c r="B26" s="57" t="s">
        <v>22</v>
      </c>
      <c r="C26" s="57" t="s">
        <v>11</v>
      </c>
      <c r="D26" s="21">
        <v>271141000</v>
      </c>
      <c r="E26">
        <v>0.94550000000000001</v>
      </c>
    </row>
    <row r="27" spans="1:5" x14ac:dyDescent="0.25">
      <c r="A27">
        <v>8</v>
      </c>
      <c r="B27" s="57" t="s">
        <v>28</v>
      </c>
      <c r="C27" s="57" t="s">
        <v>18</v>
      </c>
      <c r="D27" s="21">
        <v>74813000</v>
      </c>
      <c r="E27">
        <v>1</v>
      </c>
    </row>
    <row r="28" spans="1:5" x14ac:dyDescent="0.25">
      <c r="A28">
        <v>8</v>
      </c>
      <c r="B28" s="57" t="s">
        <v>28</v>
      </c>
      <c r="C28" s="57" t="s">
        <v>27</v>
      </c>
      <c r="D28" s="21">
        <v>65983000</v>
      </c>
      <c r="E28">
        <v>0.95709999999999995</v>
      </c>
    </row>
    <row r="29" spans="1:5" x14ac:dyDescent="0.25">
      <c r="A29">
        <v>8</v>
      </c>
      <c r="B29" s="57" t="s">
        <v>28</v>
      </c>
      <c r="C29" s="57" t="s">
        <v>20</v>
      </c>
      <c r="D29" s="21">
        <v>29406000</v>
      </c>
      <c r="E29">
        <v>1</v>
      </c>
    </row>
    <row r="30" spans="1:5" x14ac:dyDescent="0.25">
      <c r="A30">
        <v>8</v>
      </c>
      <c r="B30" s="57" t="s">
        <v>28</v>
      </c>
      <c r="C30" s="57" t="s">
        <v>31</v>
      </c>
      <c r="D30" s="21">
        <v>163821000</v>
      </c>
      <c r="E30">
        <v>0.9667</v>
      </c>
    </row>
    <row r="31" spans="1:5" x14ac:dyDescent="0.25">
      <c r="A31">
        <v>8</v>
      </c>
      <c r="B31" s="57" t="s">
        <v>28</v>
      </c>
      <c r="C31" s="57" t="s">
        <v>11</v>
      </c>
      <c r="D31" s="21">
        <v>203007000</v>
      </c>
      <c r="E31">
        <v>0.97</v>
      </c>
    </row>
    <row r="32" spans="1:5" x14ac:dyDescent="0.25">
      <c r="A32">
        <v>6</v>
      </c>
      <c r="B32" s="57" t="s">
        <v>5</v>
      </c>
      <c r="C32" s="57" t="s">
        <v>11</v>
      </c>
      <c r="D32" s="21">
        <v>16948000</v>
      </c>
      <c r="E32">
        <v>1</v>
      </c>
    </row>
    <row r="33" spans="1:5" x14ac:dyDescent="0.25">
      <c r="A33">
        <v>6</v>
      </c>
      <c r="B33" s="57" t="s">
        <v>22</v>
      </c>
      <c r="C33" s="57" t="s">
        <v>11</v>
      </c>
      <c r="D33" s="21">
        <v>84714000</v>
      </c>
      <c r="E33">
        <v>1</v>
      </c>
    </row>
    <row r="34" spans="1:5" x14ac:dyDescent="0.25">
      <c r="A34">
        <v>6</v>
      </c>
      <c r="B34" s="57" t="s">
        <v>28</v>
      </c>
      <c r="C34" s="57" t="s">
        <v>18</v>
      </c>
      <c r="D34" s="21">
        <v>82635500</v>
      </c>
      <c r="E34">
        <v>1</v>
      </c>
    </row>
    <row r="35" spans="1:5" x14ac:dyDescent="0.25">
      <c r="A35">
        <v>6</v>
      </c>
      <c r="B35" s="57" t="s">
        <v>28</v>
      </c>
      <c r="C35" s="57" t="s">
        <v>27</v>
      </c>
      <c r="D35" s="21">
        <v>69368000</v>
      </c>
      <c r="E35">
        <v>1</v>
      </c>
    </row>
    <row r="36" spans="1:5" x14ac:dyDescent="0.25">
      <c r="A36">
        <v>6</v>
      </c>
      <c r="B36" s="57" t="s">
        <v>28</v>
      </c>
      <c r="C36" s="57" t="s">
        <v>20</v>
      </c>
      <c r="D36" s="21">
        <v>61458000</v>
      </c>
      <c r="E36">
        <v>1</v>
      </c>
    </row>
    <row r="37" spans="1:5" x14ac:dyDescent="0.25">
      <c r="A37">
        <v>6</v>
      </c>
      <c r="B37" s="57" t="s">
        <v>28</v>
      </c>
      <c r="C37" s="57" t="s">
        <v>31</v>
      </c>
      <c r="D37" s="21">
        <v>130207472.097956</v>
      </c>
      <c r="E37">
        <v>1</v>
      </c>
    </row>
    <row r="38" spans="1:5" x14ac:dyDescent="0.25">
      <c r="A38">
        <v>6</v>
      </c>
      <c r="B38" s="57" t="s">
        <v>28</v>
      </c>
      <c r="C38" s="57" t="s">
        <v>11</v>
      </c>
      <c r="D38" s="21">
        <v>125003000</v>
      </c>
      <c r="E38">
        <v>1</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F6028-D699-465C-B87F-E01BD5DF1C5F}">
  <sheetPr codeName="Sheet4"/>
  <dimension ref="A1:E94"/>
  <sheetViews>
    <sheetView workbookViewId="0">
      <selection activeCell="G10" sqref="G10"/>
    </sheetView>
  </sheetViews>
  <sheetFormatPr defaultRowHeight="15" x14ac:dyDescent="0.25"/>
  <cols>
    <col min="1" max="1" width="8.5703125" bestFit="1" customWidth="1"/>
    <col min="2" max="2" width="12.140625" bestFit="1" customWidth="1"/>
    <col min="3" max="3" width="17.7109375" bestFit="1" customWidth="1"/>
    <col min="4" max="4" width="15.42578125" bestFit="1" customWidth="1"/>
    <col min="5" max="5" width="11.5703125" bestFit="1" customWidth="1"/>
    <col min="6" max="6" width="22" bestFit="1" customWidth="1"/>
    <col min="7" max="7" width="20.42578125" bestFit="1" customWidth="1"/>
    <col min="8" max="8" width="13.28515625" bestFit="1" customWidth="1"/>
    <col min="9" max="9" width="13.42578125" bestFit="1" customWidth="1"/>
    <col min="10" max="10" width="18.85546875" bestFit="1" customWidth="1"/>
    <col min="11" max="11" width="16.85546875" bestFit="1" customWidth="1"/>
    <col min="12" max="12" width="10.28515625" bestFit="1" customWidth="1"/>
    <col min="13" max="13" width="12" bestFit="1" customWidth="1"/>
    <col min="14" max="14" width="81.140625" bestFit="1" customWidth="1"/>
    <col min="15" max="15" width="74.85546875" bestFit="1" customWidth="1"/>
    <col min="16" max="16" width="14.85546875" bestFit="1" customWidth="1"/>
    <col min="17" max="17" width="81.140625" bestFit="1" customWidth="1"/>
    <col min="18" max="18" width="74.85546875" bestFit="1" customWidth="1"/>
    <col min="19" max="19" width="14.85546875" bestFit="1" customWidth="1"/>
    <col min="20" max="20" width="53" bestFit="1" customWidth="1"/>
    <col min="21" max="21" width="60.7109375" bestFit="1" customWidth="1"/>
    <col min="22" max="22" width="22.28515625" bestFit="1" customWidth="1"/>
    <col min="23" max="23" width="7.28515625" bestFit="1" customWidth="1"/>
  </cols>
  <sheetData>
    <row r="1" spans="1:5" x14ac:dyDescent="0.25">
      <c r="A1" t="s">
        <v>0</v>
      </c>
      <c r="B1" t="s">
        <v>1</v>
      </c>
      <c r="C1" t="s">
        <v>2</v>
      </c>
      <c r="D1" t="s">
        <v>34</v>
      </c>
      <c r="E1" t="s">
        <v>35</v>
      </c>
    </row>
    <row r="2" spans="1:5" x14ac:dyDescent="0.25">
      <c r="A2" s="57">
        <v>4</v>
      </c>
      <c r="B2" s="57" t="s">
        <v>5</v>
      </c>
      <c r="C2" s="57" t="s">
        <v>6</v>
      </c>
      <c r="D2">
        <v>157806245</v>
      </c>
      <c r="E2" s="57">
        <v>0.95599999999999996</v>
      </c>
    </row>
    <row r="3" spans="1:5" x14ac:dyDescent="0.25">
      <c r="A3" s="57">
        <v>4</v>
      </c>
      <c r="B3" s="57" t="s">
        <v>5</v>
      </c>
      <c r="C3" s="57" t="s">
        <v>7</v>
      </c>
      <c r="D3">
        <v>161848046.00000021</v>
      </c>
      <c r="E3" s="57">
        <v>0.97599999999999998</v>
      </c>
    </row>
    <row r="4" spans="1:5" x14ac:dyDescent="0.25">
      <c r="A4" s="57">
        <v>4</v>
      </c>
      <c r="B4" s="57" t="s">
        <v>5</v>
      </c>
      <c r="C4" s="57" t="s">
        <v>8</v>
      </c>
      <c r="D4">
        <v>70663389.999999985</v>
      </c>
      <c r="E4" s="57">
        <v>0.91800000000000004</v>
      </c>
    </row>
    <row r="5" spans="1:5" x14ac:dyDescent="0.25">
      <c r="A5" s="57">
        <v>4</v>
      </c>
      <c r="B5" s="57" t="s">
        <v>12</v>
      </c>
      <c r="C5" s="57" t="s">
        <v>13</v>
      </c>
      <c r="D5">
        <v>135657181.81818181</v>
      </c>
      <c r="E5" s="57">
        <v>0.95899999999999996</v>
      </c>
    </row>
    <row r="6" spans="1:5" x14ac:dyDescent="0.25">
      <c r="A6" s="57">
        <v>4</v>
      </c>
      <c r="B6" s="57" t="s">
        <v>12</v>
      </c>
      <c r="C6" s="57" t="s">
        <v>14</v>
      </c>
      <c r="D6">
        <v>90524999.999999955</v>
      </c>
      <c r="E6" s="57">
        <v>0.96599999999999997</v>
      </c>
    </row>
    <row r="7" spans="1:5" x14ac:dyDescent="0.25">
      <c r="A7" s="57">
        <v>4</v>
      </c>
      <c r="B7" s="57" t="s">
        <v>15</v>
      </c>
      <c r="C7" s="57" t="s">
        <v>11</v>
      </c>
      <c r="D7">
        <v>61396000</v>
      </c>
      <c r="E7" s="57">
        <v>0.97</v>
      </c>
    </row>
    <row r="8" spans="1:5" x14ac:dyDescent="0.25">
      <c r="A8" s="57">
        <v>4</v>
      </c>
      <c r="B8" s="57" t="s">
        <v>16</v>
      </c>
      <c r="C8" s="57" t="s">
        <v>17</v>
      </c>
      <c r="D8">
        <v>88336015</v>
      </c>
      <c r="E8" s="57">
        <v>0.95399999999999996</v>
      </c>
    </row>
    <row r="9" spans="1:5" x14ac:dyDescent="0.25">
      <c r="A9" s="57">
        <v>4</v>
      </c>
      <c r="B9" s="57" t="s">
        <v>16</v>
      </c>
      <c r="C9" s="57" t="s">
        <v>18</v>
      </c>
      <c r="D9">
        <v>29127085</v>
      </c>
      <c r="E9" s="57">
        <v>0.96740000000000004</v>
      </c>
    </row>
    <row r="10" spans="1:5" x14ac:dyDescent="0.25">
      <c r="A10" s="57">
        <v>4</v>
      </c>
      <c r="B10" s="57" t="s">
        <v>19</v>
      </c>
      <c r="C10" s="57" t="s">
        <v>20</v>
      </c>
      <c r="D10">
        <v>424531000</v>
      </c>
      <c r="E10" s="57">
        <v>0.96860000000000002</v>
      </c>
    </row>
    <row r="11" spans="1:5" x14ac:dyDescent="0.25">
      <c r="A11" s="57">
        <v>4</v>
      </c>
      <c r="B11" s="57" t="s">
        <v>19</v>
      </c>
      <c r="C11" s="57" t="s">
        <v>9</v>
      </c>
      <c r="D11">
        <v>24281000</v>
      </c>
      <c r="E11" s="57">
        <v>0.97299999999999998</v>
      </c>
    </row>
    <row r="12" spans="1:5" x14ac:dyDescent="0.25">
      <c r="A12" s="57">
        <v>4</v>
      </c>
      <c r="B12" s="57" t="s">
        <v>19</v>
      </c>
      <c r="C12" s="57" t="s">
        <v>21</v>
      </c>
      <c r="D12">
        <v>95212000</v>
      </c>
      <c r="E12" s="57">
        <v>0.96499999999999997</v>
      </c>
    </row>
    <row r="13" spans="1:5" x14ac:dyDescent="0.25">
      <c r="A13" s="57">
        <v>4</v>
      </c>
      <c r="B13" s="57" t="s">
        <v>22</v>
      </c>
      <c r="C13" s="57" t="s">
        <v>24</v>
      </c>
      <c r="D13">
        <v>571774677.81019998</v>
      </c>
      <c r="E13" s="57">
        <v>0.95</v>
      </c>
    </row>
    <row r="14" spans="1:5" x14ac:dyDescent="0.25">
      <c r="A14" s="57">
        <v>4</v>
      </c>
      <c r="B14" s="57" t="s">
        <v>22</v>
      </c>
      <c r="C14" s="57" t="s">
        <v>25</v>
      </c>
      <c r="D14">
        <v>354165312.75296402</v>
      </c>
      <c r="E14" s="57">
        <v>0.95499999999999996</v>
      </c>
    </row>
    <row r="15" spans="1:5" x14ac:dyDescent="0.25">
      <c r="A15" s="57">
        <v>4</v>
      </c>
      <c r="B15" s="57" t="s">
        <v>22</v>
      </c>
      <c r="C15" s="57" t="s">
        <v>26</v>
      </c>
      <c r="D15">
        <v>471228853.38867199</v>
      </c>
      <c r="E15" s="57">
        <v>0.96499999999999997</v>
      </c>
    </row>
    <row r="16" spans="1:5" x14ac:dyDescent="0.25">
      <c r="A16" s="57">
        <v>4</v>
      </c>
      <c r="B16" s="57" t="s">
        <v>22</v>
      </c>
      <c r="C16" s="57" t="s">
        <v>27</v>
      </c>
      <c r="D16">
        <v>493319608.49521601</v>
      </c>
      <c r="E16" s="57">
        <v>0.95699999999999996</v>
      </c>
    </row>
    <row r="17" spans="1:5" x14ac:dyDescent="0.25">
      <c r="A17" s="57">
        <v>4</v>
      </c>
      <c r="B17" s="57" t="s">
        <v>28</v>
      </c>
      <c r="C17" s="57" t="s">
        <v>18</v>
      </c>
      <c r="D17">
        <v>270234544</v>
      </c>
      <c r="E17" s="57">
        <v>0.96299999999999997</v>
      </c>
    </row>
    <row r="18" spans="1:5" x14ac:dyDescent="0.25">
      <c r="A18" s="57">
        <v>4</v>
      </c>
      <c r="B18" s="57" t="s">
        <v>28</v>
      </c>
      <c r="C18" s="57" t="s">
        <v>27</v>
      </c>
      <c r="D18">
        <v>383581896.61881</v>
      </c>
      <c r="E18" s="57">
        <v>0.95</v>
      </c>
    </row>
    <row r="19" spans="1:5" x14ac:dyDescent="0.25">
      <c r="A19" s="57">
        <v>4</v>
      </c>
      <c r="B19" s="57" t="s">
        <v>28</v>
      </c>
      <c r="C19" s="57" t="s">
        <v>20</v>
      </c>
      <c r="D19">
        <v>389547228</v>
      </c>
      <c r="E19" s="57">
        <v>0.95799999999999996</v>
      </c>
    </row>
    <row r="20" spans="1:5" x14ac:dyDescent="0.25">
      <c r="A20" s="57">
        <v>4</v>
      </c>
      <c r="B20" s="57" t="s">
        <v>28</v>
      </c>
      <c r="C20" s="57" t="s">
        <v>29</v>
      </c>
      <c r="D20">
        <v>471613900</v>
      </c>
      <c r="E20" s="57">
        <v>0.96299999999999997</v>
      </c>
    </row>
    <row r="21" spans="1:5" x14ac:dyDescent="0.25">
      <c r="A21" s="57">
        <v>5</v>
      </c>
      <c r="B21" s="57" t="s">
        <v>5</v>
      </c>
      <c r="C21" s="57" t="s">
        <v>6</v>
      </c>
      <c r="D21">
        <v>174336975.00000021</v>
      </c>
      <c r="E21" s="57">
        <v>0.93799999999999994</v>
      </c>
    </row>
    <row r="22" spans="1:5" x14ac:dyDescent="0.25">
      <c r="A22" s="57">
        <v>5</v>
      </c>
      <c r="B22" s="57" t="s">
        <v>5</v>
      </c>
      <c r="C22" s="57" t="s">
        <v>7</v>
      </c>
      <c r="D22">
        <v>261943474.99999985</v>
      </c>
      <c r="E22" s="57">
        <v>0.97699999999999998</v>
      </c>
    </row>
    <row r="23" spans="1:5" x14ac:dyDescent="0.25">
      <c r="A23" s="57">
        <v>5</v>
      </c>
      <c r="B23" s="57" t="s">
        <v>5</v>
      </c>
      <c r="C23" s="57" t="s">
        <v>8</v>
      </c>
      <c r="D23">
        <v>92675185</v>
      </c>
      <c r="E23" s="57">
        <v>0.9</v>
      </c>
    </row>
    <row r="24" spans="1:5" x14ac:dyDescent="0.25">
      <c r="A24" s="57">
        <v>5</v>
      </c>
      <c r="B24" s="57" t="s">
        <v>12</v>
      </c>
      <c r="C24" s="57" t="s">
        <v>13</v>
      </c>
      <c r="D24">
        <v>135657181.81818181</v>
      </c>
      <c r="E24" s="57">
        <v>0.96899999999999997</v>
      </c>
    </row>
    <row r="25" spans="1:5" x14ac:dyDescent="0.25">
      <c r="A25" s="57">
        <v>5</v>
      </c>
      <c r="B25" s="57" t="s">
        <v>12</v>
      </c>
      <c r="C25" s="57" t="s">
        <v>14</v>
      </c>
      <c r="D25">
        <v>90524999.999999955</v>
      </c>
      <c r="E25" s="57">
        <v>0.96699999999999997</v>
      </c>
    </row>
    <row r="26" spans="1:5" x14ac:dyDescent="0.25">
      <c r="A26" s="57">
        <v>5</v>
      </c>
      <c r="B26" s="57" t="s">
        <v>15</v>
      </c>
      <c r="C26" s="57" t="s">
        <v>11</v>
      </c>
      <c r="D26">
        <v>135512999.99999994</v>
      </c>
      <c r="E26" s="57">
        <v>0.96</v>
      </c>
    </row>
    <row r="27" spans="1:5" x14ac:dyDescent="0.25">
      <c r="A27" s="57">
        <v>5</v>
      </c>
      <c r="B27" s="57" t="s">
        <v>16</v>
      </c>
      <c r="C27" s="57" t="s">
        <v>17</v>
      </c>
      <c r="D27">
        <v>111423645</v>
      </c>
      <c r="E27" s="57">
        <v>0.85899999999999999</v>
      </c>
    </row>
    <row r="28" spans="1:5" x14ac:dyDescent="0.25">
      <c r="A28" s="57">
        <v>5</v>
      </c>
      <c r="B28" s="57" t="s">
        <v>16</v>
      </c>
      <c r="C28" s="57" t="s">
        <v>18</v>
      </c>
      <c r="D28">
        <v>40685500</v>
      </c>
      <c r="E28" s="57">
        <v>0.95899999999999996</v>
      </c>
    </row>
    <row r="29" spans="1:5" x14ac:dyDescent="0.25">
      <c r="A29" s="57">
        <v>5</v>
      </c>
      <c r="B29" s="57" t="s">
        <v>19</v>
      </c>
      <c r="C29" s="57" t="s">
        <v>20</v>
      </c>
      <c r="D29">
        <v>376055000</v>
      </c>
      <c r="E29" s="57">
        <v>0.91400000000000003</v>
      </c>
    </row>
    <row r="30" spans="1:5" x14ac:dyDescent="0.25">
      <c r="A30" s="57">
        <v>5</v>
      </c>
      <c r="B30" s="57" t="s">
        <v>19</v>
      </c>
      <c r="C30" s="57" t="s">
        <v>9</v>
      </c>
      <c r="D30">
        <v>4255000</v>
      </c>
      <c r="E30" s="57">
        <v>0.95799999999999996</v>
      </c>
    </row>
    <row r="31" spans="1:5" x14ac:dyDescent="0.25">
      <c r="A31" s="57">
        <v>5</v>
      </c>
      <c r="B31" s="57" t="s">
        <v>19</v>
      </c>
      <c r="C31" s="57" t="s">
        <v>21</v>
      </c>
      <c r="D31">
        <v>119622000</v>
      </c>
      <c r="E31" s="57">
        <v>0.96099999999999997</v>
      </c>
    </row>
    <row r="32" spans="1:5" x14ac:dyDescent="0.25">
      <c r="A32" s="57">
        <v>5</v>
      </c>
      <c r="B32" s="57" t="s">
        <v>22</v>
      </c>
      <c r="C32" s="57" t="s">
        <v>24</v>
      </c>
      <c r="D32">
        <v>782294463.1207881</v>
      </c>
      <c r="E32" s="57">
        <v>0.95399999999999996</v>
      </c>
    </row>
    <row r="33" spans="1:5" x14ac:dyDescent="0.25">
      <c r="A33" s="57">
        <v>5</v>
      </c>
      <c r="B33" s="57" t="s">
        <v>22</v>
      </c>
      <c r="C33" s="57" t="s">
        <v>25</v>
      </c>
      <c r="D33">
        <v>453218571.66343999</v>
      </c>
      <c r="E33" s="57">
        <v>0.95399999999999996</v>
      </c>
    </row>
    <row r="34" spans="1:5" x14ac:dyDescent="0.25">
      <c r="A34" s="57">
        <v>5</v>
      </c>
      <c r="B34" s="57" t="s">
        <v>22</v>
      </c>
      <c r="C34" s="57" t="s">
        <v>26</v>
      </c>
      <c r="D34">
        <v>664464541.09267199</v>
      </c>
      <c r="E34" s="57">
        <v>0.95499999999999996</v>
      </c>
    </row>
    <row r="35" spans="1:5" x14ac:dyDescent="0.25">
      <c r="A35" s="57">
        <v>5</v>
      </c>
      <c r="B35" s="57" t="s">
        <v>22</v>
      </c>
      <c r="C35" s="57" t="s">
        <v>27</v>
      </c>
      <c r="D35">
        <v>596938875.73059201</v>
      </c>
      <c r="E35" s="57">
        <v>0.95699999999999996</v>
      </c>
    </row>
    <row r="36" spans="1:5" x14ac:dyDescent="0.25">
      <c r="A36" s="57">
        <v>5</v>
      </c>
      <c r="B36" s="57" t="s">
        <v>28</v>
      </c>
      <c r="C36" s="57" t="s">
        <v>18</v>
      </c>
      <c r="D36">
        <v>326570046</v>
      </c>
      <c r="E36" s="57">
        <v>0.95499999999999996</v>
      </c>
    </row>
    <row r="37" spans="1:5" x14ac:dyDescent="0.25">
      <c r="A37" s="57">
        <v>5</v>
      </c>
      <c r="B37" s="57" t="s">
        <v>28</v>
      </c>
      <c r="C37" s="57" t="s">
        <v>27</v>
      </c>
      <c r="D37">
        <v>404955449.99777001</v>
      </c>
      <c r="E37" s="57">
        <v>0.95599999999999996</v>
      </c>
    </row>
    <row r="38" spans="1:5" x14ac:dyDescent="0.25">
      <c r="A38" s="57">
        <v>5</v>
      </c>
      <c r="B38" s="57" t="s">
        <v>28</v>
      </c>
      <c r="C38" s="57" t="s">
        <v>20</v>
      </c>
      <c r="D38">
        <v>445654000</v>
      </c>
      <c r="E38" s="57">
        <v>0.95</v>
      </c>
    </row>
    <row r="39" spans="1:5" x14ac:dyDescent="0.25">
      <c r="A39" s="57">
        <v>5</v>
      </c>
      <c r="B39" s="57" t="s">
        <v>28</v>
      </c>
      <c r="C39" s="57" t="s">
        <v>29</v>
      </c>
      <c r="D39">
        <v>472221250</v>
      </c>
      <c r="E39" s="57">
        <v>0.96299999999999997</v>
      </c>
    </row>
    <row r="40" spans="1:5" x14ac:dyDescent="0.25">
      <c r="A40" s="57">
        <v>7</v>
      </c>
      <c r="B40" s="57" t="s">
        <v>5</v>
      </c>
      <c r="C40" s="57" t="s">
        <v>6</v>
      </c>
      <c r="D40">
        <v>67672616.000000015</v>
      </c>
      <c r="E40" s="57">
        <v>0.91200000000000003</v>
      </c>
    </row>
    <row r="41" spans="1:5" x14ac:dyDescent="0.25">
      <c r="A41" s="57">
        <v>7</v>
      </c>
      <c r="B41" s="57" t="s">
        <v>5</v>
      </c>
      <c r="C41" s="57" t="s">
        <v>7</v>
      </c>
      <c r="D41">
        <v>91651330.000000089</v>
      </c>
      <c r="E41" s="57">
        <v>0.96799999999999997</v>
      </c>
    </row>
    <row r="42" spans="1:5" x14ac:dyDescent="0.25">
      <c r="A42" s="57">
        <v>7</v>
      </c>
      <c r="B42" s="57" t="s">
        <v>5</v>
      </c>
      <c r="C42" s="57" t="s">
        <v>8</v>
      </c>
      <c r="D42">
        <v>29720980.000000007</v>
      </c>
      <c r="E42" s="57">
        <v>0.95099999999999996</v>
      </c>
    </row>
    <row r="43" spans="1:5" x14ac:dyDescent="0.25">
      <c r="A43" s="57">
        <v>7</v>
      </c>
      <c r="B43" s="57" t="s">
        <v>12</v>
      </c>
      <c r="C43" s="57" t="s">
        <v>13</v>
      </c>
      <c r="D43">
        <v>103259370</v>
      </c>
      <c r="E43" s="57">
        <v>0.97</v>
      </c>
    </row>
    <row r="44" spans="1:5" x14ac:dyDescent="0.25">
      <c r="A44" s="57">
        <v>7</v>
      </c>
      <c r="B44" s="57" t="s">
        <v>12</v>
      </c>
      <c r="C44" s="57" t="s">
        <v>14</v>
      </c>
      <c r="D44">
        <v>62277000</v>
      </c>
      <c r="E44" s="57">
        <v>0.96799999999999997</v>
      </c>
    </row>
    <row r="45" spans="1:5" x14ac:dyDescent="0.25">
      <c r="A45" s="57">
        <v>7</v>
      </c>
      <c r="B45" s="57" t="s">
        <v>15</v>
      </c>
      <c r="C45" s="57" t="s">
        <v>11</v>
      </c>
      <c r="D45">
        <v>70203000</v>
      </c>
      <c r="E45" s="57">
        <v>0.95</v>
      </c>
    </row>
    <row r="46" spans="1:5" x14ac:dyDescent="0.25">
      <c r="A46" s="57">
        <v>7</v>
      </c>
      <c r="B46" s="57" t="s">
        <v>16</v>
      </c>
      <c r="C46" s="57" t="s">
        <v>17</v>
      </c>
      <c r="D46">
        <v>48946090</v>
      </c>
      <c r="E46" s="57">
        <v>0.95899999999999996</v>
      </c>
    </row>
    <row r="47" spans="1:5" x14ac:dyDescent="0.25">
      <c r="A47" s="57">
        <v>7</v>
      </c>
      <c r="B47" s="57" t="s">
        <v>16</v>
      </c>
      <c r="C47" s="57" t="s">
        <v>18</v>
      </c>
      <c r="D47">
        <v>21347710</v>
      </c>
      <c r="E47" s="57">
        <v>0.96899999999999997</v>
      </c>
    </row>
    <row r="48" spans="1:5" x14ac:dyDescent="0.25">
      <c r="A48" s="57">
        <v>7</v>
      </c>
      <c r="B48" s="57" t="s">
        <v>19</v>
      </c>
      <c r="C48" s="57" t="s">
        <v>20</v>
      </c>
      <c r="D48">
        <v>100364000</v>
      </c>
      <c r="E48" s="57">
        <v>0.95450000000000002</v>
      </c>
    </row>
    <row r="49" spans="1:5" x14ac:dyDescent="0.25">
      <c r="A49" s="57">
        <v>7</v>
      </c>
      <c r="B49" s="57" t="s">
        <v>19</v>
      </c>
      <c r="C49" s="57" t="s">
        <v>21</v>
      </c>
      <c r="D49">
        <v>8739000</v>
      </c>
      <c r="E49" s="57">
        <v>0.95799999999999996</v>
      </c>
    </row>
    <row r="50" spans="1:5" x14ac:dyDescent="0.25">
      <c r="A50" s="57">
        <v>7</v>
      </c>
      <c r="B50" s="57" t="s">
        <v>22</v>
      </c>
      <c r="C50" s="57" t="s">
        <v>24</v>
      </c>
      <c r="D50">
        <v>338399346</v>
      </c>
      <c r="E50" s="57">
        <v>0.95899999999999996</v>
      </c>
    </row>
    <row r="51" spans="1:5" x14ac:dyDescent="0.25">
      <c r="A51" s="57">
        <v>7</v>
      </c>
      <c r="B51" s="57" t="s">
        <v>22</v>
      </c>
      <c r="C51" s="57" t="s">
        <v>25</v>
      </c>
      <c r="D51">
        <v>177677815</v>
      </c>
      <c r="E51" s="57">
        <v>0.95599999999999996</v>
      </c>
    </row>
    <row r="52" spans="1:5" x14ac:dyDescent="0.25">
      <c r="A52" s="57">
        <v>7</v>
      </c>
      <c r="B52" s="57" t="s">
        <v>22</v>
      </c>
      <c r="C52" s="57" t="s">
        <v>26</v>
      </c>
      <c r="D52">
        <v>261395853</v>
      </c>
      <c r="E52" s="57">
        <v>0.96</v>
      </c>
    </row>
    <row r="53" spans="1:5" x14ac:dyDescent="0.25">
      <c r="A53" s="57">
        <v>7</v>
      </c>
      <c r="B53" s="57" t="s">
        <v>22</v>
      </c>
      <c r="C53" s="57" t="s">
        <v>27</v>
      </c>
      <c r="D53">
        <v>231553410</v>
      </c>
      <c r="E53" s="57">
        <v>0.95799999999999996</v>
      </c>
    </row>
    <row r="54" spans="1:5" x14ac:dyDescent="0.25">
      <c r="A54" s="57">
        <v>7</v>
      </c>
      <c r="B54" s="57" t="s">
        <v>28</v>
      </c>
      <c r="C54" s="57" t="s">
        <v>18</v>
      </c>
      <c r="D54">
        <v>165113074</v>
      </c>
      <c r="E54" s="57">
        <v>0.96099999999999997</v>
      </c>
    </row>
    <row r="55" spans="1:5" x14ac:dyDescent="0.25">
      <c r="A55" s="57">
        <v>7</v>
      </c>
      <c r="B55" s="57" t="s">
        <v>28</v>
      </c>
      <c r="C55" s="57" t="s">
        <v>27</v>
      </c>
      <c r="D55">
        <v>168320827.79610002</v>
      </c>
      <c r="E55" s="57">
        <v>0.96899999999999997</v>
      </c>
    </row>
    <row r="56" spans="1:5" x14ac:dyDescent="0.25">
      <c r="A56" s="57">
        <v>7</v>
      </c>
      <c r="B56" s="57" t="s">
        <v>28</v>
      </c>
      <c r="C56" s="57" t="s">
        <v>20</v>
      </c>
      <c r="D56">
        <v>252210000</v>
      </c>
      <c r="E56" s="57">
        <v>0.96799999999999997</v>
      </c>
    </row>
    <row r="57" spans="1:5" x14ac:dyDescent="0.25">
      <c r="A57" s="57">
        <v>7</v>
      </c>
      <c r="B57" s="57" t="s">
        <v>28</v>
      </c>
      <c r="C57" s="57" t="s">
        <v>29</v>
      </c>
      <c r="D57">
        <v>184464100</v>
      </c>
      <c r="E57" s="57">
        <v>0.97199999999999998</v>
      </c>
    </row>
    <row r="58" spans="1:5" x14ac:dyDescent="0.25">
      <c r="A58" s="57">
        <v>8</v>
      </c>
      <c r="B58" s="57" t="s">
        <v>5</v>
      </c>
      <c r="C58" s="57" t="s">
        <v>6</v>
      </c>
      <c r="D58">
        <v>58009580.000000007</v>
      </c>
      <c r="E58" s="57">
        <v>0.90400000000000003</v>
      </c>
    </row>
    <row r="59" spans="1:5" x14ac:dyDescent="0.25">
      <c r="A59" s="57">
        <v>8</v>
      </c>
      <c r="B59" s="57" t="s">
        <v>5</v>
      </c>
      <c r="C59" s="57" t="s">
        <v>7</v>
      </c>
      <c r="D59">
        <v>155814019.00000003</v>
      </c>
      <c r="E59" s="57">
        <v>0.94099999999999995</v>
      </c>
    </row>
    <row r="60" spans="1:5" x14ac:dyDescent="0.25">
      <c r="A60" s="57">
        <v>8</v>
      </c>
      <c r="B60" s="57" t="s">
        <v>5</v>
      </c>
      <c r="C60" s="57" t="s">
        <v>8</v>
      </c>
      <c r="D60">
        <v>31087935.000000011</v>
      </c>
      <c r="E60" s="57">
        <v>0.90200000000000002</v>
      </c>
    </row>
    <row r="61" spans="1:5" x14ac:dyDescent="0.25">
      <c r="A61" s="57">
        <v>8</v>
      </c>
      <c r="B61" s="57" t="s">
        <v>12</v>
      </c>
      <c r="C61" s="57" t="s">
        <v>13</v>
      </c>
      <c r="D61">
        <v>112687400</v>
      </c>
      <c r="E61" s="57">
        <v>0.97</v>
      </c>
    </row>
    <row r="62" spans="1:5" x14ac:dyDescent="0.25">
      <c r="A62" s="57">
        <v>8</v>
      </c>
      <c r="B62" s="57" t="s">
        <v>12</v>
      </c>
      <c r="C62" s="57" t="s">
        <v>14</v>
      </c>
      <c r="D62">
        <v>72905600</v>
      </c>
      <c r="E62" s="57">
        <v>0.96799999999999997</v>
      </c>
    </row>
    <row r="63" spans="1:5" x14ac:dyDescent="0.25">
      <c r="A63" s="57">
        <v>8</v>
      </c>
      <c r="B63" s="57" t="s">
        <v>15</v>
      </c>
      <c r="C63" s="57" t="s">
        <v>11</v>
      </c>
      <c r="D63">
        <v>33775000</v>
      </c>
      <c r="E63" s="57">
        <v>0.95</v>
      </c>
    </row>
    <row r="64" spans="1:5" x14ac:dyDescent="0.25">
      <c r="A64" s="57">
        <v>8</v>
      </c>
      <c r="B64" s="57" t="s">
        <v>16</v>
      </c>
      <c r="C64" s="57" t="s">
        <v>17</v>
      </c>
      <c r="D64">
        <v>53381195</v>
      </c>
      <c r="E64" s="57">
        <v>0.95899999999999996</v>
      </c>
    </row>
    <row r="65" spans="1:5" x14ac:dyDescent="0.25">
      <c r="A65" s="57">
        <v>8</v>
      </c>
      <c r="B65" s="57" t="s">
        <v>16</v>
      </c>
      <c r="C65" s="57" t="s">
        <v>18</v>
      </c>
      <c r="D65">
        <v>26225380</v>
      </c>
      <c r="E65" s="57">
        <v>0.97</v>
      </c>
    </row>
    <row r="66" spans="1:5" x14ac:dyDescent="0.25">
      <c r="A66" s="57">
        <v>8</v>
      </c>
      <c r="B66" s="57" t="s">
        <v>19</v>
      </c>
      <c r="C66" s="57" t="s">
        <v>20</v>
      </c>
      <c r="D66">
        <v>100650000</v>
      </c>
      <c r="E66" s="57">
        <v>0.95940000000000003</v>
      </c>
    </row>
    <row r="67" spans="1:5" x14ac:dyDescent="0.25">
      <c r="A67" s="57">
        <v>8</v>
      </c>
      <c r="B67" s="57" t="s">
        <v>19</v>
      </c>
      <c r="C67" s="57" t="s">
        <v>21</v>
      </c>
      <c r="D67">
        <v>28160000</v>
      </c>
      <c r="E67" s="57">
        <v>0.96699999999999997</v>
      </c>
    </row>
    <row r="68" spans="1:5" x14ac:dyDescent="0.25">
      <c r="A68" s="57">
        <v>8</v>
      </c>
      <c r="B68" s="57" t="s">
        <v>22</v>
      </c>
      <c r="C68" s="57" t="s">
        <v>24</v>
      </c>
      <c r="D68">
        <v>404318778.96348</v>
      </c>
      <c r="E68" s="57">
        <v>0.95899999999999996</v>
      </c>
    </row>
    <row r="69" spans="1:5" x14ac:dyDescent="0.25">
      <c r="A69" s="57">
        <v>8</v>
      </c>
      <c r="B69" s="57" t="s">
        <v>22</v>
      </c>
      <c r="C69" s="57" t="s">
        <v>25</v>
      </c>
      <c r="D69">
        <v>184856625.62696001</v>
      </c>
      <c r="E69" s="57">
        <v>0.95799999999999996</v>
      </c>
    </row>
    <row r="70" spans="1:5" x14ac:dyDescent="0.25">
      <c r="A70" s="57">
        <v>8</v>
      </c>
      <c r="B70" s="57" t="s">
        <v>22</v>
      </c>
      <c r="C70" s="57" t="s">
        <v>26</v>
      </c>
      <c r="D70">
        <v>294019597.88500798</v>
      </c>
      <c r="E70" s="57">
        <v>0.97</v>
      </c>
    </row>
    <row r="71" spans="1:5" x14ac:dyDescent="0.25">
      <c r="A71" s="57">
        <v>8</v>
      </c>
      <c r="B71" s="57" t="s">
        <v>22</v>
      </c>
      <c r="C71" s="57" t="s">
        <v>27</v>
      </c>
      <c r="D71">
        <v>216097582.78816</v>
      </c>
      <c r="E71" s="57">
        <v>0.96</v>
      </c>
    </row>
    <row r="72" spans="1:5" x14ac:dyDescent="0.25">
      <c r="A72" s="57">
        <v>8</v>
      </c>
      <c r="B72" s="57" t="s">
        <v>28</v>
      </c>
      <c r="C72" s="57" t="s">
        <v>18</v>
      </c>
      <c r="D72">
        <v>120674000</v>
      </c>
      <c r="E72" s="57">
        <v>0.95799999999999996</v>
      </c>
    </row>
    <row r="73" spans="1:5" x14ac:dyDescent="0.25">
      <c r="A73" s="57">
        <v>8</v>
      </c>
      <c r="B73" s="57" t="s">
        <v>28</v>
      </c>
      <c r="C73" s="57" t="s">
        <v>27</v>
      </c>
      <c r="D73">
        <v>217250861</v>
      </c>
      <c r="E73" s="57">
        <v>0.95899999999999996</v>
      </c>
    </row>
    <row r="74" spans="1:5" x14ac:dyDescent="0.25">
      <c r="A74" s="57">
        <v>8</v>
      </c>
      <c r="B74" s="57" t="s">
        <v>28</v>
      </c>
      <c r="C74" s="57" t="s">
        <v>20</v>
      </c>
      <c r="D74">
        <v>252036000</v>
      </c>
      <c r="E74" s="57">
        <v>0.96399999999999997</v>
      </c>
    </row>
    <row r="75" spans="1:5" x14ac:dyDescent="0.25">
      <c r="A75" s="57">
        <v>8</v>
      </c>
      <c r="B75" s="57" t="s">
        <v>28</v>
      </c>
      <c r="C75" s="57" t="s">
        <v>29</v>
      </c>
      <c r="D75">
        <v>276410068</v>
      </c>
      <c r="E75" s="57">
        <v>0.95799999999999996</v>
      </c>
    </row>
    <row r="76" spans="1:5" x14ac:dyDescent="0.25">
      <c r="A76" s="57">
        <v>6</v>
      </c>
      <c r="B76" s="57" t="s">
        <v>5</v>
      </c>
      <c r="C76" s="57" t="s">
        <v>6</v>
      </c>
      <c r="D76">
        <v>142189254.00000006</v>
      </c>
      <c r="E76" s="57">
        <v>0.94599999999999995</v>
      </c>
    </row>
    <row r="77" spans="1:5" x14ac:dyDescent="0.25">
      <c r="A77" s="57">
        <v>6</v>
      </c>
      <c r="B77" s="57" t="s">
        <v>5</v>
      </c>
      <c r="C77" s="57" t="s">
        <v>7</v>
      </c>
      <c r="D77">
        <v>310034432.00000012</v>
      </c>
      <c r="E77" s="57">
        <v>0.95899999999999996</v>
      </c>
    </row>
    <row r="78" spans="1:5" x14ac:dyDescent="0.25">
      <c r="A78" s="57">
        <v>6</v>
      </c>
      <c r="B78" s="57" t="s">
        <v>5</v>
      </c>
      <c r="C78" s="57" t="s">
        <v>8</v>
      </c>
      <c r="D78">
        <v>144584999.99999994</v>
      </c>
      <c r="E78" s="57">
        <v>0.94099999999999995</v>
      </c>
    </row>
    <row r="79" spans="1:5" x14ac:dyDescent="0.25">
      <c r="A79" s="57">
        <v>6</v>
      </c>
      <c r="B79" s="57" t="s">
        <v>12</v>
      </c>
      <c r="C79" s="57" t="s">
        <v>13</v>
      </c>
      <c r="D79">
        <v>160498900.99999976</v>
      </c>
      <c r="E79" s="57">
        <v>0.89900000000000002</v>
      </c>
    </row>
    <row r="80" spans="1:5" x14ac:dyDescent="0.25">
      <c r="A80" s="57">
        <v>6</v>
      </c>
      <c r="B80" s="57" t="s">
        <v>12</v>
      </c>
      <c r="C80" s="57" t="s">
        <v>14</v>
      </c>
      <c r="D80">
        <v>74185888.88888894</v>
      </c>
      <c r="E80" s="57">
        <v>0.89600000000000002</v>
      </c>
    </row>
    <row r="81" spans="1:5" x14ac:dyDescent="0.25">
      <c r="A81" s="57">
        <v>6</v>
      </c>
      <c r="B81" s="57" t="s">
        <v>15</v>
      </c>
      <c r="C81" s="57" t="s">
        <v>11</v>
      </c>
      <c r="D81">
        <v>75202000</v>
      </c>
      <c r="E81" s="57">
        <v>0.96</v>
      </c>
    </row>
    <row r="82" spans="1:5" x14ac:dyDescent="0.25">
      <c r="A82" s="57">
        <v>6</v>
      </c>
      <c r="B82" s="57" t="s">
        <v>16</v>
      </c>
      <c r="C82" s="57" t="s">
        <v>17</v>
      </c>
      <c r="D82">
        <v>83644185</v>
      </c>
      <c r="E82" s="57">
        <v>0.96899999999999997</v>
      </c>
    </row>
    <row r="83" spans="1:5" x14ac:dyDescent="0.25">
      <c r="A83" s="57">
        <v>6</v>
      </c>
      <c r="B83" s="57" t="s">
        <v>16</v>
      </c>
      <c r="C83" s="57" t="s">
        <v>18</v>
      </c>
      <c r="D83">
        <v>31037125</v>
      </c>
      <c r="E83" s="57">
        <v>0.95499999999999996</v>
      </c>
    </row>
    <row r="84" spans="1:5" x14ac:dyDescent="0.25">
      <c r="A84" s="57">
        <v>6</v>
      </c>
      <c r="B84" s="57" t="s">
        <v>19</v>
      </c>
      <c r="C84" s="57" t="s">
        <v>20</v>
      </c>
      <c r="D84">
        <v>255266000</v>
      </c>
      <c r="E84" s="57">
        <v>0.95399999999999996</v>
      </c>
    </row>
    <row r="85" spans="1:5" x14ac:dyDescent="0.25">
      <c r="A85" s="57">
        <v>6</v>
      </c>
      <c r="B85" s="57" t="s">
        <v>19</v>
      </c>
      <c r="C85" s="57" t="s">
        <v>9</v>
      </c>
      <c r="D85">
        <v>4296600</v>
      </c>
      <c r="E85" s="57">
        <v>0.95799999999999996</v>
      </c>
    </row>
    <row r="86" spans="1:5" x14ac:dyDescent="0.25">
      <c r="A86" s="57">
        <v>6</v>
      </c>
      <c r="B86" s="57" t="s">
        <v>19</v>
      </c>
      <c r="C86" s="57" t="s">
        <v>21</v>
      </c>
      <c r="D86">
        <v>64259800</v>
      </c>
      <c r="E86" s="57">
        <v>0.97199999999999998</v>
      </c>
    </row>
    <row r="87" spans="1:5" x14ac:dyDescent="0.25">
      <c r="A87" s="57">
        <v>6</v>
      </c>
      <c r="B87" s="57" t="s">
        <v>22</v>
      </c>
      <c r="C87" s="57" t="s">
        <v>24</v>
      </c>
      <c r="D87">
        <v>423945587.564888</v>
      </c>
      <c r="E87" s="57">
        <v>0.95099999999999996</v>
      </c>
    </row>
    <row r="88" spans="1:5" x14ac:dyDescent="0.25">
      <c r="A88" s="57">
        <v>6</v>
      </c>
      <c r="B88" s="57" t="s">
        <v>22</v>
      </c>
      <c r="C88" s="57" t="s">
        <v>25</v>
      </c>
      <c r="D88">
        <v>236377447.31353599</v>
      </c>
      <c r="E88" s="57">
        <v>0.95599999999999996</v>
      </c>
    </row>
    <row r="89" spans="1:5" x14ac:dyDescent="0.25">
      <c r="A89" s="57">
        <v>6</v>
      </c>
      <c r="B89" s="57" t="s">
        <v>22</v>
      </c>
      <c r="C89" s="57" t="s">
        <v>26</v>
      </c>
      <c r="D89">
        <v>408602173.16988802</v>
      </c>
      <c r="E89" s="57">
        <v>0.95899999999999996</v>
      </c>
    </row>
    <row r="90" spans="1:5" x14ac:dyDescent="0.25">
      <c r="A90" s="57">
        <v>6</v>
      </c>
      <c r="B90" s="57" t="s">
        <v>22</v>
      </c>
      <c r="C90" s="57" t="s">
        <v>27</v>
      </c>
      <c r="D90">
        <v>259682842.83199999</v>
      </c>
      <c r="E90" s="57">
        <v>0.95799999999999996</v>
      </c>
    </row>
    <row r="91" spans="1:5" x14ac:dyDescent="0.25">
      <c r="A91" s="57">
        <v>6</v>
      </c>
      <c r="B91" s="57" t="s">
        <v>28</v>
      </c>
      <c r="C91" s="57" t="s">
        <v>18</v>
      </c>
      <c r="D91">
        <v>219388000</v>
      </c>
      <c r="E91" s="57">
        <v>0.96299999999999997</v>
      </c>
    </row>
    <row r="92" spans="1:5" x14ac:dyDescent="0.25">
      <c r="A92" s="57">
        <v>6</v>
      </c>
      <c r="B92" s="57" t="s">
        <v>28</v>
      </c>
      <c r="C92" s="57" t="s">
        <v>27</v>
      </c>
      <c r="D92">
        <v>258659662.81213</v>
      </c>
      <c r="E92" s="57">
        <v>0.95699999999999996</v>
      </c>
    </row>
    <row r="93" spans="1:5" x14ac:dyDescent="0.25">
      <c r="A93" s="57">
        <v>6</v>
      </c>
      <c r="B93" s="57" t="s">
        <v>28</v>
      </c>
      <c r="C93" s="57" t="s">
        <v>20</v>
      </c>
      <c r="D93">
        <v>325400200</v>
      </c>
      <c r="E93" s="57">
        <v>0.96199999999999997</v>
      </c>
    </row>
    <row r="94" spans="1:5" x14ac:dyDescent="0.25">
      <c r="A94" s="57">
        <v>6</v>
      </c>
      <c r="B94" s="57" t="s">
        <v>28</v>
      </c>
      <c r="C94" s="57" t="s">
        <v>29</v>
      </c>
      <c r="D94">
        <v>491834246</v>
      </c>
      <c r="E94" s="57">
        <v>0.95799999999999996</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B02A7-187D-452C-8F11-E0044C7CE401}">
  <sheetPr codeName="Sheet5"/>
  <dimension ref="A1:Z133"/>
  <sheetViews>
    <sheetView workbookViewId="0">
      <selection activeCell="I7" sqref="I7"/>
    </sheetView>
  </sheetViews>
  <sheetFormatPr defaultRowHeight="15" x14ac:dyDescent="0.25"/>
  <cols>
    <col min="1" max="1" width="21.42578125" bestFit="1" customWidth="1"/>
    <col min="2" max="2" width="17.7109375" bestFit="1" customWidth="1"/>
    <col min="3" max="6" width="14.28515625" bestFit="1" customWidth="1"/>
    <col min="7" max="8" width="12.5703125" bestFit="1" customWidth="1"/>
    <col min="9" max="9" width="15.28515625" bestFit="1" customWidth="1"/>
    <col min="10" max="11" width="15.28515625" customWidth="1"/>
    <col min="12" max="12" width="10.85546875" bestFit="1" customWidth="1"/>
    <col min="13" max="13" width="11.85546875" bestFit="1" customWidth="1"/>
    <col min="14" max="14" width="15.28515625" bestFit="1" customWidth="1"/>
    <col min="15" max="15" width="16" bestFit="1" customWidth="1"/>
    <col min="16" max="16" width="9" bestFit="1" customWidth="1"/>
    <col min="17" max="17" width="19.28515625" bestFit="1" customWidth="1"/>
    <col min="18" max="18" width="11.7109375" bestFit="1" customWidth="1"/>
    <col min="19" max="19" width="10.5703125" bestFit="1" customWidth="1"/>
    <col min="20" max="21" width="12.7109375" bestFit="1" customWidth="1"/>
    <col min="22" max="22" width="15.85546875" bestFit="1" customWidth="1"/>
    <col min="23" max="23" width="13.7109375" bestFit="1" customWidth="1"/>
    <col min="24" max="24" width="16.85546875" bestFit="1" customWidth="1"/>
    <col min="25" max="25" width="17" bestFit="1" customWidth="1"/>
    <col min="26" max="26" width="20.140625" bestFit="1" customWidth="1"/>
    <col min="27" max="27" width="16.85546875" bestFit="1" customWidth="1"/>
    <col min="28" max="28" width="20" bestFit="1" customWidth="1"/>
    <col min="29" max="29" width="8.7109375" bestFit="1" customWidth="1"/>
    <col min="30" max="30" width="11.7109375" bestFit="1" customWidth="1"/>
    <col min="31" max="31" width="21.140625" bestFit="1" customWidth="1"/>
    <col min="32" max="32" width="6.140625" bestFit="1" customWidth="1"/>
    <col min="33" max="33" width="24.28515625" bestFit="1" customWidth="1"/>
    <col min="34" max="34" width="13.5703125" bestFit="1" customWidth="1"/>
    <col min="35" max="35" width="16.7109375" bestFit="1" customWidth="1"/>
    <col min="36" max="36" width="12.42578125" bestFit="1" customWidth="1"/>
    <col min="37" max="37" width="6.140625" bestFit="1" customWidth="1"/>
    <col min="38" max="38" width="15.5703125" bestFit="1" customWidth="1"/>
    <col min="39" max="39" width="12.7109375" bestFit="1" customWidth="1"/>
  </cols>
  <sheetData>
    <row r="1" spans="1:17" s="3" customFormat="1" x14ac:dyDescent="0.25">
      <c r="A1" s="2" t="s">
        <v>42</v>
      </c>
      <c r="B1" s="2" t="s">
        <v>43</v>
      </c>
      <c r="C1" s="2"/>
      <c r="D1" s="2"/>
      <c r="E1" s="2"/>
      <c r="F1" s="2"/>
      <c r="G1" s="2"/>
      <c r="H1" s="2"/>
      <c r="I1" s="2"/>
      <c r="J1" s="2"/>
      <c r="K1" s="2"/>
      <c r="N1" s="56" t="s">
        <v>49</v>
      </c>
      <c r="O1" s="56"/>
      <c r="P1" s="56"/>
      <c r="Q1" s="56"/>
    </row>
    <row r="2" spans="1:17" s="3" customFormat="1" x14ac:dyDescent="0.25">
      <c r="A2" s="2" t="s">
        <v>40</v>
      </c>
      <c r="B2" s="2" t="s">
        <v>19</v>
      </c>
      <c r="C2" s="2" t="s">
        <v>5</v>
      </c>
      <c r="D2" s="2" t="s">
        <v>28</v>
      </c>
      <c r="E2" s="2" t="s">
        <v>22</v>
      </c>
      <c r="F2" s="2" t="s">
        <v>12</v>
      </c>
      <c r="G2" s="2" t="s">
        <v>16</v>
      </c>
      <c r="H2" s="2" t="s">
        <v>15</v>
      </c>
      <c r="I2" s="2" t="s">
        <v>41</v>
      </c>
      <c r="J2" s="2"/>
      <c r="K2" s="2"/>
      <c r="N2" s="9" t="s">
        <v>50</v>
      </c>
      <c r="O2" s="9" t="s">
        <v>51</v>
      </c>
      <c r="P2" s="9" t="s">
        <v>53</v>
      </c>
      <c r="Q2" s="10" t="s">
        <v>54</v>
      </c>
    </row>
    <row r="3" spans="1:17" s="3" customFormat="1" x14ac:dyDescent="0.25">
      <c r="A3" s="4">
        <v>4</v>
      </c>
      <c r="B3" s="2">
        <v>544024000</v>
      </c>
      <c r="C3" s="2">
        <v>390317681.00000024</v>
      </c>
      <c r="D3" s="2">
        <v>1514977568.6188099</v>
      </c>
      <c r="E3" s="2">
        <v>1890488452.447052</v>
      </c>
      <c r="F3" s="2">
        <v>226182181.81818175</v>
      </c>
      <c r="G3" s="2">
        <v>117463100</v>
      </c>
      <c r="H3" s="2">
        <v>61396000</v>
      </c>
      <c r="I3" s="2">
        <v>4744848983.8840446</v>
      </c>
      <c r="J3" s="2"/>
      <c r="K3" s="2"/>
      <c r="N3" s="11">
        <f>GETPIVOTDATA("Chi Phí - ngắn",$A$1)</f>
        <v>19424622633.948528</v>
      </c>
      <c r="O3" s="10">
        <f>COUNTA(A68:A108)-2</f>
        <v>16</v>
      </c>
      <c r="P3" s="12">
        <f>GETPIVOTDATA("Chi Phí - ngắn",$A$1)/GETPIVOTDATA("Chi Phí - ngắn",$A$53)</f>
        <v>1</v>
      </c>
      <c r="Q3" s="13">
        <f>GETPIVOTDATA("[Measures].[Average of KPI- ngắn]",$A$70)</f>
        <v>0.95432150537634419</v>
      </c>
    </row>
    <row r="4" spans="1:17" s="3" customFormat="1" x14ac:dyDescent="0.25">
      <c r="A4" s="4">
        <v>5</v>
      </c>
      <c r="B4" s="2">
        <v>499932000</v>
      </c>
      <c r="C4" s="2">
        <v>528955635.00000006</v>
      </c>
      <c r="D4" s="2">
        <v>1649400745.9977701</v>
      </c>
      <c r="E4" s="2">
        <v>2496916451.6074924</v>
      </c>
      <c r="F4" s="2">
        <v>226182181.81818175</v>
      </c>
      <c r="G4" s="2">
        <v>152109145</v>
      </c>
      <c r="H4" s="2">
        <v>135512999.99999994</v>
      </c>
      <c r="I4" s="2">
        <v>5689009159.4234447</v>
      </c>
      <c r="J4" s="2"/>
      <c r="K4" s="2"/>
    </row>
    <row r="5" spans="1:17" s="3" customFormat="1" x14ac:dyDescent="0.25">
      <c r="A5" s="4">
        <v>6</v>
      </c>
      <c r="B5" s="2">
        <v>323822400</v>
      </c>
      <c r="C5" s="2">
        <v>596808686.00000012</v>
      </c>
      <c r="D5" s="2">
        <v>1295282108.81213</v>
      </c>
      <c r="E5" s="2">
        <v>1328608050.880312</v>
      </c>
      <c r="F5" s="2">
        <v>234684789.88888872</v>
      </c>
      <c r="G5" s="2">
        <v>114681310</v>
      </c>
      <c r="H5" s="2">
        <v>75202000</v>
      </c>
      <c r="I5" s="2">
        <v>3969089345.5813308</v>
      </c>
      <c r="J5" s="2"/>
      <c r="K5" s="2"/>
    </row>
    <row r="6" spans="1:17" s="3" customFormat="1" x14ac:dyDescent="0.25">
      <c r="A6" s="4">
        <v>7</v>
      </c>
      <c r="B6" s="2">
        <v>109103000</v>
      </c>
      <c r="C6" s="2">
        <v>189044926.00000012</v>
      </c>
      <c r="D6" s="2">
        <v>770108001.79610002</v>
      </c>
      <c r="E6" s="2">
        <v>1009026424</v>
      </c>
      <c r="F6" s="2">
        <v>165536370</v>
      </c>
      <c r="G6" s="2">
        <v>70293800</v>
      </c>
      <c r="H6" s="2">
        <v>70203000</v>
      </c>
      <c r="I6" s="2">
        <v>2383315521.7961001</v>
      </c>
      <c r="J6" s="2"/>
      <c r="K6" s="2"/>
    </row>
    <row r="7" spans="1:17" s="3" customFormat="1" x14ac:dyDescent="0.25">
      <c r="A7" s="4">
        <v>8</v>
      </c>
      <c r="B7" s="2">
        <v>128810000</v>
      </c>
      <c r="C7" s="2">
        <v>244911534.00000003</v>
      </c>
      <c r="D7" s="2">
        <v>866370929</v>
      </c>
      <c r="E7" s="2">
        <v>1099292585.263608</v>
      </c>
      <c r="F7" s="2">
        <v>185593000</v>
      </c>
      <c r="G7" s="2">
        <v>79606575</v>
      </c>
      <c r="H7" s="2">
        <v>33775000</v>
      </c>
      <c r="I7" s="2">
        <v>2638359623.263608</v>
      </c>
      <c r="J7" s="2"/>
      <c r="K7" s="2"/>
    </row>
    <row r="8" spans="1:17" s="3" customFormat="1" x14ac:dyDescent="0.25">
      <c r="A8" s="4" t="s">
        <v>41</v>
      </c>
      <c r="B8" s="2">
        <v>1605691400</v>
      </c>
      <c r="C8" s="2">
        <v>1950038462.0000005</v>
      </c>
      <c r="D8" s="2">
        <v>6096139354.2248096</v>
      </c>
      <c r="E8" s="2">
        <v>7824331964.1984644</v>
      </c>
      <c r="F8" s="2">
        <v>1038178523.5252522</v>
      </c>
      <c r="G8" s="2">
        <v>534153930</v>
      </c>
      <c r="H8" s="2">
        <v>376088999.99999994</v>
      </c>
      <c r="I8" s="2">
        <v>19424622633.948528</v>
      </c>
      <c r="J8" s="2"/>
      <c r="K8" s="2"/>
    </row>
    <row r="9" spans="1:17" s="3" customFormat="1" x14ac:dyDescent="0.25">
      <c r="A9" s="4"/>
      <c r="B9" s="2"/>
      <c r="C9" s="2"/>
      <c r="D9" s="2"/>
      <c r="E9" s="2"/>
      <c r="F9" s="2"/>
      <c r="G9" s="2"/>
      <c r="H9" s="2"/>
      <c r="I9" s="2"/>
      <c r="J9" s="2"/>
      <c r="K9" s="2"/>
    </row>
    <row r="10" spans="1:17" s="3" customFormat="1" x14ac:dyDescent="0.25">
      <c r="A10" s="4"/>
      <c r="B10" s="2"/>
      <c r="C10" s="2"/>
      <c r="D10" s="2"/>
      <c r="E10" s="2"/>
      <c r="F10" s="2"/>
      <c r="G10" s="2"/>
      <c r="H10" s="2"/>
      <c r="I10" s="2"/>
      <c r="J10" s="2"/>
      <c r="K10" s="2"/>
    </row>
    <row r="11" spans="1:17" s="3" customFormat="1" x14ac:dyDescent="0.25">
      <c r="A11" s="4"/>
      <c r="B11" s="2"/>
      <c r="C11" s="2"/>
      <c r="D11" s="2"/>
      <c r="E11" s="2"/>
      <c r="F11" s="2"/>
      <c r="G11" s="2"/>
      <c r="H11" s="2"/>
      <c r="I11" s="2"/>
      <c r="J11" s="2"/>
      <c r="K11" s="2"/>
    </row>
    <row r="12" spans="1:17" s="3" customFormat="1" x14ac:dyDescent="0.25">
      <c r="A12" s="4"/>
      <c r="B12" s="2"/>
      <c r="C12" s="2"/>
      <c r="D12" s="2"/>
      <c r="E12" s="2"/>
      <c r="F12" s="2"/>
      <c r="G12" s="2"/>
      <c r="H12" s="2"/>
      <c r="I12" s="2"/>
      <c r="J12" s="2"/>
      <c r="K12" s="2"/>
    </row>
    <row r="13" spans="1:17" s="3" customFormat="1" x14ac:dyDescent="0.25">
      <c r="A13" s="4"/>
      <c r="B13" s="2"/>
      <c r="C13" s="2"/>
      <c r="D13" s="2"/>
      <c r="E13" s="2"/>
      <c r="F13" s="2"/>
      <c r="G13" s="2"/>
      <c r="H13" s="2"/>
      <c r="I13" s="2"/>
      <c r="J13" s="2"/>
      <c r="K13" s="2"/>
    </row>
    <row r="14" spans="1:17" s="3" customFormat="1" x14ac:dyDescent="0.25">
      <c r="A14" s="4"/>
      <c r="B14" s="2"/>
      <c r="C14" s="2"/>
      <c r="D14" s="2"/>
      <c r="E14" s="2"/>
      <c r="F14" s="2"/>
      <c r="G14" s="2"/>
      <c r="H14" s="2"/>
      <c r="I14" s="2"/>
      <c r="J14" s="2"/>
      <c r="K14" s="2"/>
    </row>
    <row r="15" spans="1:17" s="3" customFormat="1" x14ac:dyDescent="0.25">
      <c r="A15" s="4"/>
      <c r="B15" s="2"/>
      <c r="C15" s="2"/>
      <c r="D15" s="2"/>
      <c r="E15" s="2"/>
      <c r="F15" s="2"/>
      <c r="G15" s="2"/>
      <c r="H15" s="2"/>
      <c r="I15" s="2"/>
      <c r="J15" s="2"/>
      <c r="K15" s="2"/>
    </row>
    <row r="16" spans="1:17" s="3" customFormat="1" x14ac:dyDescent="0.25">
      <c r="A16" s="4"/>
      <c r="B16" s="2"/>
      <c r="C16" s="2"/>
      <c r="D16" s="2"/>
      <c r="E16" s="2"/>
      <c r="F16" s="2"/>
      <c r="G16" s="2"/>
      <c r="H16" s="2"/>
      <c r="I16" s="2"/>
      <c r="J16" s="2"/>
      <c r="K16" s="2"/>
    </row>
    <row r="17" spans="1:11" s="3" customFormat="1" x14ac:dyDescent="0.25">
      <c r="A17" s="4"/>
      <c r="B17" s="2"/>
      <c r="C17" s="2"/>
      <c r="D17" s="2"/>
      <c r="E17" s="2"/>
      <c r="F17" s="2"/>
      <c r="G17" s="2"/>
      <c r="H17" s="2"/>
      <c r="I17" s="2"/>
      <c r="J17" s="2"/>
      <c r="K17" s="2"/>
    </row>
    <row r="18" spans="1:11" s="3" customFormat="1" x14ac:dyDescent="0.25">
      <c r="A18" s="4"/>
      <c r="B18" s="2"/>
      <c r="C18" s="2"/>
      <c r="D18" s="2"/>
      <c r="E18" s="2"/>
      <c r="F18" s="2"/>
      <c r="G18" s="2"/>
      <c r="H18" s="2"/>
      <c r="I18" s="2"/>
      <c r="J18" s="2"/>
      <c r="K18" s="2"/>
    </row>
    <row r="19" spans="1:11" s="3" customFormat="1" x14ac:dyDescent="0.25">
      <c r="A19" s="4"/>
      <c r="B19" s="2"/>
      <c r="C19" s="2"/>
      <c r="D19" s="2"/>
      <c r="E19" s="2"/>
      <c r="F19" s="2"/>
      <c r="G19" s="2"/>
      <c r="H19" s="2"/>
      <c r="I19" s="2"/>
      <c r="J19" s="2"/>
      <c r="K19" s="2"/>
    </row>
    <row r="20" spans="1:11" s="3" customFormat="1" x14ac:dyDescent="0.25">
      <c r="A20" s="4"/>
      <c r="B20" s="2"/>
      <c r="C20" s="2"/>
      <c r="D20" s="2"/>
      <c r="E20" s="2"/>
      <c r="F20" s="2"/>
      <c r="G20" s="2"/>
      <c r="H20" s="2"/>
      <c r="I20" s="2"/>
      <c r="J20" s="2"/>
      <c r="K20" s="2"/>
    </row>
    <row r="21" spans="1:11" s="3" customFormat="1" x14ac:dyDescent="0.25">
      <c r="A21" s="4"/>
      <c r="B21" s="2"/>
      <c r="C21" s="2"/>
      <c r="D21" s="2"/>
      <c r="E21" s="2"/>
      <c r="F21" s="2"/>
      <c r="G21" s="2"/>
      <c r="H21" s="2"/>
      <c r="I21" s="2"/>
      <c r="J21" s="2"/>
      <c r="K21" s="2"/>
    </row>
    <row r="22" spans="1:11" s="3" customFormat="1" x14ac:dyDescent="0.25"/>
    <row r="23" spans="1:11" s="3" customFormat="1" x14ac:dyDescent="0.25"/>
    <row r="24" spans="1:11" s="3" customFormat="1" x14ac:dyDescent="0.25"/>
    <row r="25" spans="1:11" s="3" customFormat="1" x14ac:dyDescent="0.25"/>
    <row r="26" spans="1:11" s="3" customFormat="1" x14ac:dyDescent="0.25">
      <c r="A26" s="2" t="s">
        <v>52</v>
      </c>
      <c r="B26" s="2" t="s">
        <v>43</v>
      </c>
      <c r="C26" s="2"/>
      <c r="D26" s="2"/>
      <c r="E26" s="2"/>
      <c r="F26" s="2"/>
      <c r="G26" s="2"/>
      <c r="H26" s="2"/>
      <c r="I26" s="2"/>
      <c r="J26" s="2"/>
      <c r="K26" s="2"/>
    </row>
    <row r="27" spans="1:11" s="3" customFormat="1" x14ac:dyDescent="0.25">
      <c r="A27" s="2" t="s">
        <v>40</v>
      </c>
      <c r="B27" s="2" t="s">
        <v>19</v>
      </c>
      <c r="C27" s="2" t="s">
        <v>5</v>
      </c>
      <c r="D27" s="2" t="s">
        <v>28</v>
      </c>
      <c r="E27" s="2" t="s">
        <v>22</v>
      </c>
      <c r="F27" s="2" t="s">
        <v>12</v>
      </c>
      <c r="G27" s="2" t="s">
        <v>16</v>
      </c>
      <c r="H27" s="2" t="s">
        <v>15</v>
      </c>
      <c r="I27" s="2" t="s">
        <v>41</v>
      </c>
      <c r="J27" s="2"/>
      <c r="K27" s="2"/>
    </row>
    <row r="28" spans="1:11" s="3" customFormat="1" x14ac:dyDescent="0.25">
      <c r="A28" s="4">
        <v>4</v>
      </c>
      <c r="B28" s="2">
        <v>3</v>
      </c>
      <c r="C28" s="2">
        <v>3</v>
      </c>
      <c r="D28" s="2">
        <v>4</v>
      </c>
      <c r="E28" s="2">
        <v>4</v>
      </c>
      <c r="F28" s="2">
        <v>2</v>
      </c>
      <c r="G28" s="2">
        <v>2</v>
      </c>
      <c r="H28" s="2">
        <v>1</v>
      </c>
      <c r="I28" s="2">
        <v>19</v>
      </c>
      <c r="J28" s="2"/>
      <c r="K28" s="2"/>
    </row>
    <row r="29" spans="1:11" s="3" customFormat="1" x14ac:dyDescent="0.25">
      <c r="A29" s="4">
        <v>5</v>
      </c>
      <c r="B29" s="2">
        <v>3</v>
      </c>
      <c r="C29" s="2">
        <v>3</v>
      </c>
      <c r="D29" s="2">
        <v>4</v>
      </c>
      <c r="E29" s="2">
        <v>4</v>
      </c>
      <c r="F29" s="2">
        <v>2</v>
      </c>
      <c r="G29" s="2">
        <v>2</v>
      </c>
      <c r="H29" s="2">
        <v>1</v>
      </c>
      <c r="I29" s="2">
        <v>19</v>
      </c>
      <c r="J29" s="2"/>
      <c r="K29" s="2"/>
    </row>
    <row r="30" spans="1:11" s="3" customFormat="1" x14ac:dyDescent="0.25">
      <c r="A30" s="4">
        <v>6</v>
      </c>
      <c r="B30" s="2">
        <v>3</v>
      </c>
      <c r="C30" s="2">
        <v>3</v>
      </c>
      <c r="D30" s="2">
        <v>4</v>
      </c>
      <c r="E30" s="2">
        <v>4</v>
      </c>
      <c r="F30" s="2">
        <v>2</v>
      </c>
      <c r="G30" s="2">
        <v>2</v>
      </c>
      <c r="H30" s="2">
        <v>1</v>
      </c>
      <c r="I30" s="2">
        <v>19</v>
      </c>
      <c r="J30" s="2"/>
      <c r="K30" s="2"/>
    </row>
    <row r="31" spans="1:11" s="3" customFormat="1" x14ac:dyDescent="0.25">
      <c r="A31" s="4">
        <v>7</v>
      </c>
      <c r="B31" s="2">
        <v>2</v>
      </c>
      <c r="C31" s="2">
        <v>3</v>
      </c>
      <c r="D31" s="2">
        <v>4</v>
      </c>
      <c r="E31" s="2">
        <v>4</v>
      </c>
      <c r="F31" s="2">
        <v>2</v>
      </c>
      <c r="G31" s="2">
        <v>2</v>
      </c>
      <c r="H31" s="2">
        <v>1</v>
      </c>
      <c r="I31" s="2">
        <v>18</v>
      </c>
      <c r="J31" s="2"/>
      <c r="K31" s="2"/>
    </row>
    <row r="32" spans="1:11" s="3" customFormat="1" x14ac:dyDescent="0.25">
      <c r="A32" s="4">
        <v>8</v>
      </c>
      <c r="B32" s="2">
        <v>2</v>
      </c>
      <c r="C32" s="2">
        <v>3</v>
      </c>
      <c r="D32" s="2">
        <v>4</v>
      </c>
      <c r="E32" s="2">
        <v>4</v>
      </c>
      <c r="F32" s="2">
        <v>2</v>
      </c>
      <c r="G32" s="2">
        <v>2</v>
      </c>
      <c r="H32" s="2">
        <v>1</v>
      </c>
      <c r="I32" s="2">
        <v>18</v>
      </c>
      <c r="J32" s="2"/>
      <c r="K32" s="2"/>
    </row>
    <row r="33" spans="1:11" s="3" customFormat="1" x14ac:dyDescent="0.25">
      <c r="A33" s="4" t="s">
        <v>41</v>
      </c>
      <c r="B33" s="2">
        <v>13</v>
      </c>
      <c r="C33" s="2">
        <v>15</v>
      </c>
      <c r="D33" s="2">
        <v>20</v>
      </c>
      <c r="E33" s="2">
        <v>20</v>
      </c>
      <c r="F33" s="2">
        <v>10</v>
      </c>
      <c r="G33" s="2">
        <v>10</v>
      </c>
      <c r="H33" s="2">
        <v>5</v>
      </c>
      <c r="I33" s="2">
        <v>93</v>
      </c>
      <c r="J33" s="2"/>
      <c r="K33" s="2"/>
    </row>
    <row r="34" spans="1:11" s="3" customFormat="1" x14ac:dyDescent="0.25">
      <c r="A34" s="4"/>
      <c r="B34" s="2"/>
      <c r="C34" s="2"/>
      <c r="D34" s="2"/>
      <c r="E34" s="2"/>
      <c r="F34" s="2"/>
      <c r="G34" s="2"/>
      <c r="H34" s="2"/>
      <c r="I34" s="2"/>
      <c r="J34" s="2"/>
      <c r="K34" s="2"/>
    </row>
    <row r="35" spans="1:11" s="3" customFormat="1" x14ac:dyDescent="0.25">
      <c r="A35" s="4"/>
      <c r="B35" s="2"/>
      <c r="C35" s="2"/>
      <c r="D35" s="2"/>
      <c r="E35" s="2"/>
      <c r="F35" s="2"/>
      <c r="G35" s="2"/>
      <c r="H35" s="2"/>
      <c r="I35" s="2"/>
      <c r="J35" s="2"/>
      <c r="K35" s="2"/>
    </row>
    <row r="36" spans="1:11" s="3" customFormat="1" x14ac:dyDescent="0.25">
      <c r="A36" s="4"/>
      <c r="B36" s="2"/>
      <c r="C36" s="2"/>
      <c r="D36" s="2"/>
      <c r="E36" s="2"/>
      <c r="F36" s="2"/>
      <c r="G36" s="2"/>
      <c r="H36" s="2"/>
      <c r="I36" s="2"/>
      <c r="J36" s="2"/>
      <c r="K36" s="2"/>
    </row>
    <row r="37" spans="1:11" s="3" customFormat="1" x14ac:dyDescent="0.25">
      <c r="A37" s="4"/>
      <c r="B37" s="2"/>
      <c r="C37" s="2"/>
      <c r="D37" s="2"/>
      <c r="E37" s="2"/>
      <c r="F37" s="2"/>
      <c r="G37" s="2"/>
      <c r="H37" s="2"/>
      <c r="I37" s="2"/>
      <c r="J37" s="2"/>
      <c r="K37" s="2"/>
    </row>
    <row r="38" spans="1:11" s="3" customFormat="1" x14ac:dyDescent="0.25">
      <c r="A38" s="4"/>
      <c r="B38" s="2"/>
      <c r="C38" s="2"/>
      <c r="D38" s="2"/>
      <c r="E38" s="2"/>
      <c r="F38" s="2"/>
      <c r="G38" s="2"/>
      <c r="H38" s="2"/>
      <c r="I38" s="2"/>
      <c r="J38" s="2"/>
      <c r="K38" s="2"/>
    </row>
    <row r="39" spans="1:11" s="3" customFormat="1" x14ac:dyDescent="0.25">
      <c r="A39" s="4"/>
      <c r="B39" s="2"/>
      <c r="C39" s="2"/>
      <c r="D39" s="2"/>
      <c r="E39" s="2"/>
      <c r="F39" s="2"/>
      <c r="G39" s="2"/>
      <c r="H39" s="2"/>
      <c r="I39" s="2"/>
      <c r="J39" s="2"/>
      <c r="K39" s="2"/>
    </row>
    <row r="40" spans="1:11" s="3" customFormat="1" x14ac:dyDescent="0.25">
      <c r="A40" s="4"/>
      <c r="B40" s="2"/>
      <c r="C40" s="2"/>
      <c r="D40" s="2"/>
      <c r="E40" s="2"/>
      <c r="F40" s="2"/>
      <c r="G40" s="2"/>
      <c r="H40" s="2"/>
      <c r="I40" s="2"/>
      <c r="J40" s="2"/>
      <c r="K40" s="2"/>
    </row>
    <row r="41" spans="1:11" s="3" customFormat="1" x14ac:dyDescent="0.25">
      <c r="A41" s="4"/>
      <c r="B41" s="2"/>
      <c r="C41" s="2"/>
      <c r="D41" s="2"/>
      <c r="E41" s="2"/>
      <c r="F41" s="2"/>
      <c r="G41" s="2"/>
      <c r="H41" s="2"/>
      <c r="I41" s="2"/>
      <c r="J41" s="2"/>
      <c r="K41" s="2"/>
    </row>
    <row r="42" spans="1:11" s="3" customFormat="1" x14ac:dyDescent="0.25">
      <c r="A42" s="4"/>
      <c r="B42" s="2"/>
      <c r="C42" s="2"/>
      <c r="D42" s="2"/>
      <c r="E42" s="2"/>
      <c r="F42" s="2"/>
      <c r="G42" s="2"/>
      <c r="H42" s="2"/>
      <c r="I42" s="2"/>
      <c r="J42" s="2"/>
      <c r="K42" s="2"/>
    </row>
    <row r="43" spans="1:11" s="3" customFormat="1" x14ac:dyDescent="0.25">
      <c r="A43" s="4"/>
      <c r="B43" s="2"/>
      <c r="C43" s="2"/>
      <c r="D43" s="2"/>
      <c r="E43" s="2"/>
      <c r="F43" s="2"/>
      <c r="G43" s="2"/>
      <c r="H43" s="2"/>
      <c r="I43" s="2"/>
      <c r="J43" s="2"/>
      <c r="K43" s="2"/>
    </row>
    <row r="44" spans="1:11" s="3" customFormat="1" x14ac:dyDescent="0.25">
      <c r="A44" s="4"/>
      <c r="B44" s="2"/>
      <c r="C44" s="2"/>
      <c r="D44" s="2"/>
      <c r="E44" s="2"/>
      <c r="F44" s="2"/>
      <c r="G44" s="2"/>
      <c r="H44" s="2"/>
      <c r="I44" s="2"/>
      <c r="J44" s="2"/>
      <c r="K44" s="2"/>
    </row>
    <row r="45" spans="1:11" s="3" customFormat="1" x14ac:dyDescent="0.25">
      <c r="A45" s="4"/>
      <c r="B45" s="2"/>
      <c r="C45" s="2"/>
      <c r="D45" s="2"/>
      <c r="E45" s="2"/>
      <c r="F45" s="2"/>
      <c r="G45" s="2"/>
      <c r="H45" s="2"/>
      <c r="I45" s="2"/>
      <c r="J45" s="2"/>
      <c r="K45" s="2"/>
    </row>
    <row r="46" spans="1:11" s="3" customFormat="1" x14ac:dyDescent="0.25">
      <c r="A46" s="4"/>
      <c r="B46" s="2"/>
      <c r="C46" s="2"/>
      <c r="D46" s="2"/>
      <c r="E46" s="2"/>
      <c r="F46" s="2"/>
      <c r="G46" s="2"/>
      <c r="H46" s="2"/>
      <c r="I46" s="2"/>
      <c r="J46" s="2"/>
      <c r="K46" s="2"/>
    </row>
    <row r="47" spans="1:11" s="3" customFormat="1" x14ac:dyDescent="0.25">
      <c r="A47" s="4"/>
      <c r="B47" s="2"/>
      <c r="C47" s="2"/>
      <c r="D47" s="2"/>
      <c r="E47" s="2"/>
      <c r="F47" s="2"/>
      <c r="G47" s="2"/>
      <c r="H47" s="2"/>
      <c r="I47" s="2"/>
      <c r="J47" s="2"/>
      <c r="K47" s="2"/>
    </row>
    <row r="48" spans="1:11" s="3" customFormat="1" x14ac:dyDescent="0.25">
      <c r="A48" s="4"/>
      <c r="B48" s="2"/>
      <c r="C48" s="2"/>
      <c r="D48" s="2"/>
      <c r="E48" s="2"/>
      <c r="F48" s="2"/>
      <c r="G48" s="2"/>
      <c r="H48" s="2"/>
      <c r="I48" s="2"/>
      <c r="J48" s="2"/>
      <c r="K48" s="2"/>
    </row>
    <row r="49" spans="1:11" s="3" customFormat="1" x14ac:dyDescent="0.25">
      <c r="A49" s="4"/>
      <c r="B49" s="2"/>
      <c r="C49" s="2"/>
      <c r="D49" s="2"/>
      <c r="E49" s="2"/>
      <c r="F49" s="2"/>
      <c r="G49" s="2"/>
      <c r="H49" s="2"/>
      <c r="I49" s="2"/>
      <c r="J49" s="2"/>
      <c r="K49" s="2"/>
    </row>
    <row r="50" spans="1:11" s="3" customFormat="1" x14ac:dyDescent="0.25"/>
    <row r="51" spans="1:11" s="3" customFormat="1" x14ac:dyDescent="0.25"/>
    <row r="52" spans="1:11" s="3" customFormat="1" x14ac:dyDescent="0.25"/>
    <row r="53" spans="1:11" s="3" customFormat="1" x14ac:dyDescent="0.25">
      <c r="A53" s="2" t="s">
        <v>42</v>
      </c>
      <c r="B53" s="2" t="s">
        <v>43</v>
      </c>
      <c r="C53" s="2"/>
      <c r="D53" s="2"/>
      <c r="E53" s="2"/>
      <c r="F53" s="2"/>
      <c r="G53" s="2"/>
      <c r="H53" s="2"/>
      <c r="I53" s="2"/>
      <c r="J53" s="2"/>
      <c r="K53" s="2"/>
    </row>
    <row r="54" spans="1:11" s="3" customFormat="1" x14ac:dyDescent="0.25">
      <c r="A54" s="2" t="s">
        <v>40</v>
      </c>
      <c r="B54" s="2" t="s">
        <v>19</v>
      </c>
      <c r="C54" s="2" t="s">
        <v>5</v>
      </c>
      <c r="D54" s="2" t="s">
        <v>28</v>
      </c>
      <c r="E54" s="2" t="s">
        <v>22</v>
      </c>
      <c r="F54" s="2" t="s">
        <v>12</v>
      </c>
      <c r="G54" s="2" t="s">
        <v>16</v>
      </c>
      <c r="H54" s="2" t="s">
        <v>15</v>
      </c>
      <c r="I54" s="2" t="s">
        <v>41</v>
      </c>
      <c r="J54" s="2"/>
      <c r="K54" s="2"/>
    </row>
    <row r="55" spans="1:11" s="3" customFormat="1" x14ac:dyDescent="0.25">
      <c r="A55" s="4">
        <v>4</v>
      </c>
      <c r="B55" s="2">
        <v>544024000</v>
      </c>
      <c r="C55" s="2">
        <v>390317681.00000024</v>
      </c>
      <c r="D55" s="2">
        <v>1514977568.6188099</v>
      </c>
      <c r="E55" s="2">
        <v>1890488452.447052</v>
      </c>
      <c r="F55" s="2">
        <v>226182181.81818175</v>
      </c>
      <c r="G55" s="2">
        <v>117463100</v>
      </c>
      <c r="H55" s="2">
        <v>61396000</v>
      </c>
      <c r="I55" s="2">
        <v>4744848983.8840446</v>
      </c>
      <c r="J55" s="2"/>
      <c r="K55" s="2"/>
    </row>
    <row r="56" spans="1:11" s="3" customFormat="1" x14ac:dyDescent="0.25">
      <c r="A56" s="4">
        <v>5</v>
      </c>
      <c r="B56" s="2">
        <v>499932000</v>
      </c>
      <c r="C56" s="2">
        <v>528955635.00000006</v>
      </c>
      <c r="D56" s="2">
        <v>1649400745.9977701</v>
      </c>
      <c r="E56" s="2">
        <v>2496916451.6074924</v>
      </c>
      <c r="F56" s="2">
        <v>226182181.81818175</v>
      </c>
      <c r="G56" s="2">
        <v>152109145</v>
      </c>
      <c r="H56" s="2">
        <v>135512999.99999994</v>
      </c>
      <c r="I56" s="2">
        <v>5689009159.4234447</v>
      </c>
      <c r="J56" s="2"/>
      <c r="K56" s="2"/>
    </row>
    <row r="57" spans="1:11" s="3" customFormat="1" x14ac:dyDescent="0.25">
      <c r="A57" s="4">
        <v>6</v>
      </c>
      <c r="B57" s="2">
        <v>323822400</v>
      </c>
      <c r="C57" s="2">
        <v>596808686.00000012</v>
      </c>
      <c r="D57" s="2">
        <v>1295282108.81213</v>
      </c>
      <c r="E57" s="2">
        <v>1328608050.880312</v>
      </c>
      <c r="F57" s="2">
        <v>234684789.88888872</v>
      </c>
      <c r="G57" s="2">
        <v>114681310</v>
      </c>
      <c r="H57" s="2">
        <v>75202000</v>
      </c>
      <c r="I57" s="2">
        <v>3969089345.5813308</v>
      </c>
      <c r="J57" s="2"/>
      <c r="K57" s="2"/>
    </row>
    <row r="58" spans="1:11" s="3" customFormat="1" x14ac:dyDescent="0.25">
      <c r="A58" s="4">
        <v>7</v>
      </c>
      <c r="B58" s="2">
        <v>109103000</v>
      </c>
      <c r="C58" s="2">
        <v>189044926.00000012</v>
      </c>
      <c r="D58" s="2">
        <v>770108001.79610002</v>
      </c>
      <c r="E58" s="2">
        <v>1009026424</v>
      </c>
      <c r="F58" s="2">
        <v>165536370</v>
      </c>
      <c r="G58" s="2">
        <v>70293800</v>
      </c>
      <c r="H58" s="2">
        <v>70203000</v>
      </c>
      <c r="I58" s="2">
        <v>2383315521.7961001</v>
      </c>
      <c r="J58" s="2"/>
      <c r="K58" s="2"/>
    </row>
    <row r="59" spans="1:11" s="3" customFormat="1" x14ac:dyDescent="0.25">
      <c r="A59" s="4">
        <v>8</v>
      </c>
      <c r="B59" s="2">
        <v>128810000</v>
      </c>
      <c r="C59" s="2">
        <v>244911534.00000003</v>
      </c>
      <c r="D59" s="2">
        <v>866370929</v>
      </c>
      <c r="E59" s="2">
        <v>1099292585.263608</v>
      </c>
      <c r="F59" s="2">
        <v>185593000</v>
      </c>
      <c r="G59" s="2">
        <v>79606575</v>
      </c>
      <c r="H59" s="2">
        <v>33775000</v>
      </c>
      <c r="I59" s="2">
        <v>2638359623.263608</v>
      </c>
    </row>
    <row r="60" spans="1:11" s="3" customFormat="1" x14ac:dyDescent="0.25">
      <c r="A60" s="4" t="s">
        <v>41</v>
      </c>
      <c r="B60" s="2">
        <v>1605691400</v>
      </c>
      <c r="C60" s="2">
        <v>1950038462.0000005</v>
      </c>
      <c r="D60" s="2">
        <v>6096139354.2248096</v>
      </c>
      <c r="E60" s="2">
        <v>7824331964.1984644</v>
      </c>
      <c r="F60" s="2">
        <v>1038178523.5252522</v>
      </c>
      <c r="G60" s="2">
        <v>534153930</v>
      </c>
      <c r="H60" s="2">
        <v>376088999.99999994</v>
      </c>
      <c r="I60" s="2">
        <v>19424622633.948528</v>
      </c>
    </row>
    <row r="61" spans="1:11" s="3" customFormat="1" x14ac:dyDescent="0.25"/>
    <row r="62" spans="1:11" s="3" customFormat="1" x14ac:dyDescent="0.25"/>
    <row r="63" spans="1:11" s="3" customFormat="1" ht="13.5" customHeight="1" x14ac:dyDescent="0.25"/>
    <row r="64" spans="1:11" s="3" customFormat="1" x14ac:dyDescent="0.25"/>
    <row r="65" spans="1:26" x14ac:dyDescent="0.25">
      <c r="A65" s="5"/>
      <c r="B65" s="5"/>
      <c r="C65" s="5"/>
      <c r="D65" s="5"/>
      <c r="E65" s="5"/>
      <c r="F65" s="5"/>
      <c r="G65" s="5"/>
      <c r="H65" s="5"/>
      <c r="I65" s="5"/>
      <c r="J65" s="5"/>
      <c r="K65" s="5"/>
      <c r="L65" s="5"/>
      <c r="M65" s="5"/>
      <c r="N65" s="5"/>
      <c r="O65" s="5"/>
      <c r="P65" s="5"/>
      <c r="Q65" s="5"/>
      <c r="R65" s="5"/>
      <c r="S65" s="5"/>
      <c r="T65" s="5"/>
      <c r="U65" s="5"/>
      <c r="V65" s="5"/>
      <c r="W65" s="5"/>
      <c r="X65" s="5"/>
      <c r="Y65" s="5"/>
      <c r="Z65" s="5"/>
    </row>
    <row r="66" spans="1:26" x14ac:dyDescent="0.25">
      <c r="A66" s="5"/>
      <c r="B66" s="5"/>
      <c r="C66" s="5"/>
      <c r="D66" s="5"/>
      <c r="E66" s="5"/>
      <c r="F66" s="5"/>
      <c r="G66" s="5"/>
      <c r="H66" s="5"/>
      <c r="I66" s="5"/>
      <c r="J66" s="5"/>
      <c r="K66" s="5"/>
      <c r="L66" s="5"/>
      <c r="M66" s="5"/>
      <c r="N66" s="5"/>
      <c r="O66" s="5"/>
      <c r="P66" s="5"/>
      <c r="Q66" s="5"/>
      <c r="R66" s="5"/>
      <c r="S66" s="5"/>
      <c r="T66" s="5"/>
      <c r="U66" s="5"/>
      <c r="V66" s="5"/>
      <c r="W66" s="5"/>
      <c r="X66" s="5"/>
      <c r="Y66" s="5"/>
      <c r="Z66" s="5"/>
    </row>
    <row r="67" spans="1:26" x14ac:dyDescent="0.25">
      <c r="A67" s="5"/>
      <c r="B67" s="5"/>
      <c r="C67" s="5"/>
      <c r="D67" s="5"/>
      <c r="E67" s="5"/>
      <c r="F67" s="5"/>
      <c r="G67" s="5"/>
      <c r="H67" s="5"/>
      <c r="I67" s="5"/>
      <c r="J67" s="5"/>
      <c r="K67" s="5"/>
      <c r="L67" s="5"/>
      <c r="M67" s="5"/>
      <c r="N67" s="5"/>
      <c r="O67" s="5"/>
      <c r="P67" s="5"/>
      <c r="Q67" s="5"/>
      <c r="R67" s="5"/>
      <c r="S67" s="5"/>
      <c r="T67" s="5"/>
      <c r="U67" s="5"/>
      <c r="V67" s="5"/>
      <c r="W67" s="5"/>
      <c r="X67" s="5"/>
      <c r="Y67" s="5"/>
      <c r="Z67" s="5"/>
    </row>
    <row r="68" spans="1:26" x14ac:dyDescent="0.25">
      <c r="A68" s="5"/>
      <c r="B68" s="5"/>
      <c r="C68" s="5"/>
      <c r="D68" s="5"/>
      <c r="E68" s="5"/>
      <c r="F68" s="5"/>
      <c r="G68" s="5"/>
      <c r="H68" s="5"/>
      <c r="I68" s="5"/>
      <c r="J68" s="5"/>
      <c r="K68" s="5"/>
      <c r="L68" s="5"/>
      <c r="M68" s="5"/>
      <c r="N68" s="5"/>
      <c r="O68" s="5"/>
      <c r="P68" s="5"/>
      <c r="Q68" s="5"/>
      <c r="R68" s="5"/>
      <c r="S68" s="5"/>
      <c r="T68" s="5"/>
      <c r="U68" s="5"/>
      <c r="V68" s="5"/>
      <c r="W68" s="5"/>
      <c r="X68" s="5"/>
      <c r="Y68" s="5"/>
      <c r="Z68" s="5"/>
    </row>
    <row r="69" spans="1:26" x14ac:dyDescent="0.25">
      <c r="A69" s="5"/>
      <c r="B69" s="5"/>
      <c r="C69" s="5"/>
      <c r="D69" s="5"/>
      <c r="E69" s="5"/>
      <c r="F69" s="5"/>
      <c r="G69" s="5"/>
      <c r="H69" s="5"/>
      <c r="I69" s="5"/>
      <c r="J69" s="5"/>
      <c r="K69" s="5"/>
      <c r="L69" s="5"/>
      <c r="M69" s="5"/>
      <c r="N69" s="5"/>
      <c r="O69" s="5"/>
      <c r="P69" s="5"/>
      <c r="Q69" s="5"/>
      <c r="R69" s="5"/>
      <c r="S69" s="5"/>
      <c r="T69" s="5"/>
      <c r="U69" s="5"/>
      <c r="V69" s="5"/>
      <c r="W69" s="5"/>
      <c r="X69" s="5"/>
      <c r="Y69" s="5"/>
      <c r="Z69" s="5"/>
    </row>
    <row r="70" spans="1:26" x14ac:dyDescent="0.25">
      <c r="A70" s="5" t="s">
        <v>40</v>
      </c>
      <c r="B70" s="5" t="s">
        <v>44</v>
      </c>
      <c r="C70" s="5" t="s">
        <v>45</v>
      </c>
      <c r="D70" s="5" t="s">
        <v>46</v>
      </c>
      <c r="E70" s="5" t="s">
        <v>47</v>
      </c>
      <c r="F70" s="5"/>
      <c r="G70" s="5"/>
      <c r="H70" s="5"/>
      <c r="I70" s="5"/>
      <c r="J70" s="5"/>
      <c r="K70" s="5"/>
      <c r="L70" s="5"/>
      <c r="M70" s="5"/>
      <c r="N70" s="5"/>
      <c r="O70" s="5"/>
      <c r="P70" s="5"/>
      <c r="Q70" s="5"/>
      <c r="R70" s="5"/>
      <c r="S70" s="5"/>
      <c r="T70" s="5"/>
      <c r="U70" s="5"/>
      <c r="V70" s="5"/>
      <c r="W70" s="5"/>
      <c r="X70" s="5"/>
      <c r="Y70" s="5"/>
      <c r="Z70" s="5"/>
    </row>
    <row r="71" spans="1:26" x14ac:dyDescent="0.25">
      <c r="A71" s="6" t="s">
        <v>24</v>
      </c>
      <c r="B71" s="7">
        <v>0.95459999999999989</v>
      </c>
      <c r="C71" s="7">
        <v>0.95</v>
      </c>
      <c r="D71" s="7">
        <v>0.9</v>
      </c>
      <c r="E71" s="7">
        <v>0.85</v>
      </c>
      <c r="F71" s="5"/>
      <c r="G71" s="5"/>
      <c r="H71" s="5"/>
      <c r="I71" s="5"/>
      <c r="J71" s="5"/>
      <c r="K71" s="5"/>
      <c r="L71" s="5"/>
      <c r="M71" s="5"/>
      <c r="N71" s="5"/>
      <c r="O71" s="5"/>
      <c r="P71" s="5"/>
      <c r="Q71" s="5"/>
      <c r="R71" s="5"/>
      <c r="S71" s="5"/>
      <c r="T71" s="5"/>
      <c r="U71" s="5"/>
      <c r="V71" s="5"/>
      <c r="W71" s="5"/>
      <c r="X71" s="5"/>
      <c r="Y71" s="5"/>
      <c r="Z71" s="5"/>
    </row>
    <row r="72" spans="1:26" x14ac:dyDescent="0.25">
      <c r="A72" s="6" t="s">
        <v>13</v>
      </c>
      <c r="B72" s="7">
        <v>0.95340000000000003</v>
      </c>
      <c r="C72" s="7">
        <v>0.95</v>
      </c>
      <c r="D72" s="7">
        <v>0.9</v>
      </c>
      <c r="E72" s="7">
        <v>0.85</v>
      </c>
      <c r="F72" s="5"/>
      <c r="G72" s="5"/>
      <c r="H72" s="5"/>
      <c r="I72" s="5"/>
      <c r="J72" s="5"/>
      <c r="K72" s="5"/>
      <c r="L72" s="5"/>
      <c r="M72" s="5"/>
      <c r="N72" s="5"/>
      <c r="O72" s="5"/>
      <c r="P72" s="5"/>
      <c r="Q72" s="5"/>
      <c r="R72" s="5"/>
      <c r="S72" s="5"/>
      <c r="T72" s="5"/>
      <c r="U72" s="5"/>
      <c r="V72" s="5"/>
      <c r="W72" s="5"/>
      <c r="X72" s="5"/>
      <c r="Y72" s="5"/>
      <c r="Z72" s="5"/>
    </row>
    <row r="73" spans="1:26" x14ac:dyDescent="0.25">
      <c r="A73" s="6" t="s">
        <v>14</v>
      </c>
      <c r="B73" s="7">
        <v>0.95299999999999996</v>
      </c>
      <c r="C73" s="7">
        <v>0.95</v>
      </c>
      <c r="D73" s="7">
        <v>0.9</v>
      </c>
      <c r="E73" s="7">
        <v>0.85</v>
      </c>
      <c r="F73" s="5"/>
      <c r="G73" s="5"/>
      <c r="H73" s="5"/>
      <c r="I73" s="5"/>
      <c r="J73" s="5"/>
      <c r="K73" s="5"/>
      <c r="L73" s="5"/>
      <c r="M73" s="5"/>
      <c r="N73" s="5"/>
      <c r="O73" s="5"/>
      <c r="P73" s="5"/>
      <c r="Q73" s="5"/>
      <c r="R73" s="5"/>
      <c r="S73" s="5"/>
      <c r="T73" s="5"/>
      <c r="U73" s="5"/>
      <c r="V73" s="5"/>
      <c r="W73" s="5"/>
      <c r="X73" s="5"/>
      <c r="Y73" s="5"/>
      <c r="Z73" s="5"/>
    </row>
    <row r="74" spans="1:26" x14ac:dyDescent="0.25">
      <c r="A74" s="6" t="s">
        <v>26</v>
      </c>
      <c r="B74" s="7">
        <v>0.96179999999999999</v>
      </c>
      <c r="C74" s="7">
        <v>0.95</v>
      </c>
      <c r="D74" s="7">
        <v>0.9</v>
      </c>
      <c r="E74" s="7">
        <v>0.85</v>
      </c>
      <c r="F74" s="5"/>
      <c r="G74" s="5"/>
      <c r="H74" s="5"/>
      <c r="I74" s="5"/>
      <c r="J74" s="5"/>
      <c r="K74" s="5"/>
      <c r="L74" s="5"/>
      <c r="M74" s="5"/>
      <c r="N74" s="5"/>
      <c r="O74" s="5"/>
      <c r="P74" s="5"/>
      <c r="Q74" s="5"/>
      <c r="R74" s="5"/>
      <c r="S74" s="5"/>
      <c r="T74" s="5"/>
      <c r="U74" s="5"/>
      <c r="V74" s="5"/>
      <c r="W74" s="5"/>
      <c r="X74" s="5"/>
      <c r="Y74" s="5"/>
      <c r="Z74" s="5"/>
    </row>
    <row r="75" spans="1:26" x14ac:dyDescent="0.25">
      <c r="A75" s="6" t="s">
        <v>17</v>
      </c>
      <c r="B75" s="7">
        <v>0.94000000000000006</v>
      </c>
      <c r="C75" s="7">
        <v>0.95</v>
      </c>
      <c r="D75" s="7">
        <v>0.9</v>
      </c>
      <c r="E75" s="7">
        <v>0.85</v>
      </c>
      <c r="F75" s="5"/>
      <c r="G75" s="5"/>
      <c r="H75" s="5"/>
      <c r="I75" s="5"/>
      <c r="J75" s="5"/>
      <c r="K75" s="5"/>
      <c r="L75" s="5"/>
      <c r="M75" s="5"/>
      <c r="N75" s="5"/>
      <c r="O75" s="5"/>
      <c r="P75" s="5"/>
      <c r="Q75" s="5"/>
      <c r="R75" s="5"/>
      <c r="S75" s="5"/>
      <c r="T75" s="5"/>
      <c r="U75" s="5"/>
      <c r="V75" s="5"/>
      <c r="W75" s="5"/>
      <c r="X75" s="5"/>
      <c r="Y75" s="5"/>
      <c r="Z75" s="5"/>
    </row>
    <row r="76" spans="1:26" x14ac:dyDescent="0.25">
      <c r="A76" s="6" t="s">
        <v>20</v>
      </c>
      <c r="B76" s="7">
        <v>0.95525000000000004</v>
      </c>
      <c r="C76" s="7">
        <v>0.95</v>
      </c>
      <c r="D76" s="7">
        <v>0.9</v>
      </c>
      <c r="E76" s="7">
        <v>0.85</v>
      </c>
      <c r="F76" s="5"/>
      <c r="G76" s="5"/>
      <c r="H76" s="5"/>
      <c r="I76" s="5"/>
      <c r="J76" s="5"/>
      <c r="K76" s="5"/>
      <c r="L76" s="5"/>
      <c r="M76" s="5"/>
      <c r="N76" s="5"/>
      <c r="O76" s="5"/>
      <c r="P76" s="5"/>
      <c r="Q76" s="5"/>
      <c r="R76" s="5"/>
      <c r="S76" s="5"/>
      <c r="T76" s="5"/>
      <c r="U76" s="5"/>
      <c r="V76" s="5"/>
      <c r="W76" s="5"/>
      <c r="X76" s="5"/>
      <c r="Y76" s="5"/>
      <c r="Z76" s="5"/>
    </row>
    <row r="77" spans="1:26" x14ac:dyDescent="0.25">
      <c r="A77" s="6" t="s">
        <v>8</v>
      </c>
      <c r="B77" s="7">
        <v>0.9224</v>
      </c>
      <c r="C77" s="7">
        <v>0.95</v>
      </c>
      <c r="D77" s="7">
        <v>0.9</v>
      </c>
      <c r="E77" s="7">
        <v>0.85</v>
      </c>
      <c r="F77" s="5"/>
      <c r="G77" s="5"/>
      <c r="H77" s="5"/>
      <c r="I77" s="5"/>
      <c r="J77" s="5"/>
      <c r="K77" s="5"/>
      <c r="L77" s="5"/>
      <c r="M77" s="5"/>
      <c r="N77" s="5"/>
      <c r="O77" s="5"/>
      <c r="P77" s="5"/>
      <c r="Q77" s="5"/>
      <c r="R77" s="5"/>
      <c r="S77" s="5"/>
      <c r="T77" s="5"/>
      <c r="U77" s="5"/>
      <c r="V77" s="5"/>
      <c r="W77" s="5"/>
      <c r="X77" s="5"/>
      <c r="Y77" s="5"/>
      <c r="Z77" s="5"/>
    </row>
    <row r="78" spans="1:26" x14ac:dyDescent="0.25">
      <c r="A78" s="6" t="s">
        <v>7</v>
      </c>
      <c r="B78" s="7">
        <v>0.96419999999999995</v>
      </c>
      <c r="C78" s="7">
        <v>0.95</v>
      </c>
      <c r="D78" s="7">
        <v>0.9</v>
      </c>
      <c r="E78" s="7">
        <v>0.85</v>
      </c>
      <c r="F78" s="5"/>
      <c r="G78" s="5"/>
      <c r="H78" s="5"/>
      <c r="I78" s="5"/>
      <c r="J78" s="5"/>
      <c r="K78" s="5"/>
      <c r="L78" s="5"/>
      <c r="M78" s="5"/>
      <c r="N78" s="5"/>
      <c r="O78" s="5"/>
      <c r="P78" s="5"/>
      <c r="Q78" s="5"/>
      <c r="R78" s="5"/>
      <c r="S78" s="5"/>
      <c r="T78" s="5"/>
      <c r="U78" s="5"/>
      <c r="V78" s="5"/>
      <c r="W78" s="5"/>
      <c r="X78" s="5"/>
      <c r="Y78" s="5"/>
      <c r="Z78" s="5"/>
    </row>
    <row r="79" spans="1:26" x14ac:dyDescent="0.25">
      <c r="A79" s="6" t="s">
        <v>9</v>
      </c>
      <c r="B79" s="7">
        <v>0.96299999999999997</v>
      </c>
      <c r="C79" s="7">
        <v>0.95</v>
      </c>
      <c r="D79" s="7">
        <v>0.9</v>
      </c>
      <c r="E79" s="7">
        <v>0.85</v>
      </c>
      <c r="F79" s="5"/>
      <c r="G79" s="5"/>
      <c r="H79" s="5"/>
      <c r="I79" s="5"/>
      <c r="J79" s="5"/>
      <c r="K79" s="5"/>
      <c r="L79" s="5"/>
      <c r="M79" s="5"/>
      <c r="N79" s="5"/>
      <c r="O79" s="5"/>
      <c r="P79" s="5"/>
      <c r="Q79" s="5"/>
      <c r="R79" s="5"/>
      <c r="S79" s="5"/>
      <c r="T79" s="5"/>
      <c r="U79" s="5"/>
      <c r="V79" s="5"/>
      <c r="W79" s="5"/>
      <c r="X79" s="5"/>
      <c r="Y79" s="5"/>
      <c r="Z79" s="5"/>
    </row>
    <row r="80" spans="1:26" x14ac:dyDescent="0.25">
      <c r="A80" s="6" t="s">
        <v>6</v>
      </c>
      <c r="B80" s="7">
        <v>0.93119999999999992</v>
      </c>
      <c r="C80" s="7">
        <v>0.95</v>
      </c>
      <c r="D80" s="7">
        <v>0.9</v>
      </c>
      <c r="E80" s="7">
        <v>0.85</v>
      </c>
      <c r="F80" s="5"/>
      <c r="G80" s="5"/>
      <c r="H80" s="5"/>
      <c r="I80" s="5"/>
      <c r="J80" s="5"/>
      <c r="K80" s="5"/>
      <c r="L80" s="5"/>
      <c r="M80" s="5"/>
      <c r="N80" s="5"/>
      <c r="O80" s="5"/>
      <c r="P80" s="5"/>
      <c r="Q80" s="5"/>
      <c r="R80" s="5"/>
      <c r="S80" s="5"/>
      <c r="T80" s="5"/>
      <c r="U80" s="5"/>
      <c r="V80" s="5"/>
      <c r="W80" s="5"/>
      <c r="X80" s="5"/>
      <c r="Y80" s="5"/>
      <c r="Z80" s="5"/>
    </row>
    <row r="81" spans="1:26" x14ac:dyDescent="0.25">
      <c r="A81" s="6" t="s">
        <v>11</v>
      </c>
      <c r="B81" s="7">
        <v>0.95799999999999996</v>
      </c>
      <c r="C81" s="7">
        <v>0.95</v>
      </c>
      <c r="D81" s="7">
        <v>0.9</v>
      </c>
      <c r="E81" s="7">
        <v>0.85</v>
      </c>
      <c r="F81" s="5"/>
      <c r="G81" s="5"/>
      <c r="H81" s="5"/>
      <c r="I81" s="5"/>
      <c r="J81" s="5"/>
      <c r="K81" s="5"/>
      <c r="L81" s="5"/>
      <c r="M81" s="5"/>
      <c r="N81" s="5"/>
      <c r="O81" s="5"/>
      <c r="P81" s="5"/>
      <c r="Q81" s="5"/>
      <c r="R81" s="5"/>
      <c r="S81" s="5"/>
      <c r="T81" s="5"/>
      <c r="U81" s="5"/>
      <c r="V81" s="5"/>
      <c r="W81" s="5"/>
      <c r="X81" s="5"/>
      <c r="Y81" s="5"/>
      <c r="Z81" s="5"/>
    </row>
    <row r="82" spans="1:26" x14ac:dyDescent="0.25">
      <c r="A82" s="6" t="s">
        <v>25</v>
      </c>
      <c r="B82" s="7">
        <v>0.95579999999999998</v>
      </c>
      <c r="C82" s="7">
        <v>0.95</v>
      </c>
      <c r="D82" s="7">
        <v>0.9</v>
      </c>
      <c r="E82" s="7">
        <v>0.85</v>
      </c>
      <c r="F82" s="5"/>
      <c r="G82" s="5"/>
      <c r="H82" s="5"/>
      <c r="I82" s="5"/>
      <c r="J82" s="5"/>
      <c r="K82" s="5"/>
      <c r="L82" s="5"/>
      <c r="M82" s="5"/>
      <c r="N82" s="5"/>
      <c r="O82" s="5"/>
      <c r="P82" s="5"/>
      <c r="Q82" s="5"/>
      <c r="R82" s="5"/>
      <c r="S82" s="5"/>
      <c r="T82" s="5"/>
      <c r="U82" s="5"/>
      <c r="V82" s="5"/>
      <c r="W82" s="5"/>
      <c r="X82" s="5"/>
      <c r="Y82" s="5"/>
      <c r="Z82" s="5"/>
    </row>
    <row r="83" spans="1:26" x14ac:dyDescent="0.25">
      <c r="A83" s="6" t="s">
        <v>29</v>
      </c>
      <c r="B83" s="7">
        <v>0.96279999999999999</v>
      </c>
      <c r="C83" s="7">
        <v>0.95</v>
      </c>
      <c r="D83" s="7">
        <v>0.9</v>
      </c>
      <c r="E83" s="7">
        <v>0.85</v>
      </c>
      <c r="F83" s="5"/>
      <c r="G83" s="5"/>
      <c r="H83" s="5"/>
      <c r="I83" s="5"/>
      <c r="J83" s="5"/>
      <c r="K83" s="5"/>
      <c r="L83" s="5"/>
      <c r="M83" s="5"/>
      <c r="N83" s="5"/>
      <c r="O83" s="5"/>
      <c r="P83" s="5"/>
      <c r="Q83" s="5"/>
      <c r="R83" s="5"/>
      <c r="S83" s="5"/>
      <c r="T83" s="5"/>
      <c r="U83" s="5"/>
      <c r="V83" s="5"/>
      <c r="W83" s="5"/>
      <c r="X83" s="5"/>
      <c r="Y83" s="5"/>
      <c r="Z83" s="5"/>
    </row>
    <row r="84" spans="1:26" x14ac:dyDescent="0.25">
      <c r="A84" s="6" t="s">
        <v>18</v>
      </c>
      <c r="B84" s="7">
        <v>0.96204000000000001</v>
      </c>
      <c r="C84" s="7">
        <v>0.95</v>
      </c>
      <c r="D84" s="7">
        <v>0.9</v>
      </c>
      <c r="E84" s="7">
        <v>0.85</v>
      </c>
      <c r="F84" s="5"/>
      <c r="G84" s="5"/>
      <c r="H84" s="5"/>
      <c r="I84" s="5"/>
      <c r="J84" s="5"/>
      <c r="K84" s="5"/>
      <c r="L84" s="5"/>
      <c r="M84" s="5"/>
      <c r="N84" s="5"/>
      <c r="O84" s="5"/>
      <c r="P84" s="5"/>
      <c r="Q84" s="5"/>
      <c r="R84" s="5"/>
      <c r="S84" s="5"/>
      <c r="T84" s="5"/>
      <c r="U84" s="5"/>
      <c r="V84" s="5"/>
      <c r="W84" s="5"/>
      <c r="X84" s="5"/>
      <c r="Y84" s="5"/>
      <c r="Z84" s="5"/>
    </row>
    <row r="85" spans="1:26" x14ac:dyDescent="0.25">
      <c r="A85" s="6" t="s">
        <v>21</v>
      </c>
      <c r="B85" s="7">
        <v>0.96460000000000012</v>
      </c>
      <c r="C85" s="7">
        <v>0.95</v>
      </c>
      <c r="D85" s="7">
        <v>0.9</v>
      </c>
      <c r="E85" s="7">
        <v>0.85</v>
      </c>
      <c r="F85" s="5"/>
      <c r="G85" s="5"/>
      <c r="H85" s="5"/>
      <c r="I85" s="5"/>
      <c r="J85" s="5"/>
      <c r="K85" s="5"/>
      <c r="L85" s="5"/>
      <c r="M85" s="5"/>
      <c r="N85" s="5"/>
      <c r="O85" s="5"/>
      <c r="P85" s="5"/>
      <c r="Q85" s="5"/>
      <c r="R85" s="5"/>
      <c r="S85" s="5"/>
      <c r="T85" s="5"/>
      <c r="U85" s="5"/>
      <c r="V85" s="5"/>
      <c r="W85" s="5"/>
      <c r="X85" s="5"/>
      <c r="Y85" s="5"/>
      <c r="Z85" s="5"/>
    </row>
    <row r="86" spans="1:26" x14ac:dyDescent="0.25">
      <c r="A86" s="6" t="s">
        <v>27</v>
      </c>
      <c r="B86" s="7">
        <v>0.95809999999999995</v>
      </c>
      <c r="C86" s="7">
        <v>0.95</v>
      </c>
      <c r="D86" s="7">
        <v>0.9</v>
      </c>
      <c r="E86" s="7">
        <v>0.85</v>
      </c>
      <c r="F86" s="5"/>
      <c r="G86" s="5"/>
      <c r="H86" s="5"/>
      <c r="I86" s="5"/>
      <c r="J86" s="5"/>
      <c r="K86" s="5"/>
      <c r="L86" s="5"/>
      <c r="M86" s="5"/>
      <c r="N86" s="5"/>
      <c r="O86" s="5"/>
      <c r="P86" s="5"/>
      <c r="Q86" s="5"/>
      <c r="R86" s="5"/>
      <c r="S86" s="5"/>
      <c r="T86" s="5"/>
      <c r="U86" s="5"/>
      <c r="V86" s="5"/>
      <c r="W86" s="5"/>
      <c r="X86" s="5"/>
      <c r="Y86" s="5"/>
      <c r="Z86" s="5"/>
    </row>
    <row r="87" spans="1:26" x14ac:dyDescent="0.25">
      <c r="A87" s="6" t="s">
        <v>41</v>
      </c>
      <c r="B87" s="7">
        <v>0.95432150537634419</v>
      </c>
      <c r="C87" s="7">
        <v>0.95</v>
      </c>
      <c r="D87" s="7">
        <v>0.9</v>
      </c>
      <c r="E87" s="7">
        <v>0.85</v>
      </c>
      <c r="F87" s="5"/>
      <c r="G87" s="5"/>
      <c r="H87" s="5"/>
      <c r="I87" s="5"/>
      <c r="J87" s="5"/>
      <c r="K87" s="5"/>
      <c r="L87" s="5"/>
      <c r="M87" s="5"/>
      <c r="N87" s="5"/>
      <c r="O87" s="5"/>
      <c r="P87" s="5"/>
      <c r="Q87" s="5"/>
      <c r="R87" s="5"/>
      <c r="S87" s="5"/>
      <c r="T87" s="5"/>
      <c r="U87" s="5"/>
      <c r="V87" s="5"/>
      <c r="W87" s="5"/>
      <c r="X87" s="5"/>
      <c r="Y87" s="5"/>
      <c r="Z87" s="5"/>
    </row>
    <row r="88" spans="1:26" x14ac:dyDescent="0.25">
      <c r="A88" s="6"/>
      <c r="B88" s="7"/>
      <c r="C88" s="7"/>
      <c r="D88" s="7"/>
      <c r="E88" s="7"/>
      <c r="F88" s="5"/>
      <c r="G88" s="5"/>
      <c r="H88" s="5"/>
      <c r="I88" s="5"/>
      <c r="J88" s="5"/>
      <c r="K88" s="5"/>
      <c r="L88" s="5"/>
      <c r="M88" s="5"/>
      <c r="N88" s="5"/>
      <c r="O88" s="5"/>
      <c r="P88" s="5"/>
      <c r="Q88" s="5"/>
      <c r="R88" s="5"/>
      <c r="S88" s="5"/>
      <c r="T88" s="5"/>
      <c r="U88" s="5"/>
      <c r="V88" s="5"/>
      <c r="W88" s="5"/>
      <c r="X88" s="5"/>
      <c r="Y88" s="5"/>
      <c r="Z88" s="5"/>
    </row>
    <row r="89" spans="1:26" x14ac:dyDescent="0.25">
      <c r="A89" s="6"/>
      <c r="B89" s="7"/>
      <c r="C89" s="7"/>
      <c r="D89" s="7"/>
      <c r="E89" s="7"/>
      <c r="F89" s="5"/>
      <c r="G89" s="5"/>
      <c r="H89" s="5"/>
      <c r="I89" s="5"/>
      <c r="J89" s="5"/>
      <c r="K89" s="5"/>
      <c r="L89" s="5"/>
      <c r="M89" s="5"/>
      <c r="N89" s="5"/>
      <c r="O89" s="5"/>
      <c r="P89" s="5"/>
      <c r="Q89" s="5"/>
      <c r="R89" s="5"/>
      <c r="S89" s="5"/>
      <c r="T89" s="5"/>
      <c r="U89" s="5"/>
      <c r="V89" s="5"/>
      <c r="W89" s="5"/>
      <c r="X89" s="5"/>
      <c r="Y89" s="5"/>
      <c r="Z89" s="5"/>
    </row>
    <row r="90" spans="1:26" x14ac:dyDescent="0.25">
      <c r="A90" s="6"/>
      <c r="B90" s="7"/>
      <c r="C90" s="7"/>
      <c r="D90" s="7"/>
      <c r="E90" s="7"/>
      <c r="F90" s="5"/>
      <c r="G90" s="5"/>
      <c r="H90" s="5"/>
      <c r="I90" s="5"/>
      <c r="J90" s="5"/>
      <c r="K90" s="5"/>
      <c r="L90" s="5"/>
      <c r="M90" s="5"/>
      <c r="N90" s="5"/>
      <c r="O90" s="5"/>
      <c r="P90" s="5"/>
      <c r="Q90" s="5"/>
      <c r="R90" s="5"/>
      <c r="S90" s="5"/>
      <c r="T90" s="5"/>
      <c r="U90" s="5"/>
      <c r="V90" s="5"/>
      <c r="W90" s="5"/>
      <c r="X90" s="5"/>
      <c r="Y90" s="5"/>
      <c r="Z90" s="5"/>
    </row>
    <row r="91" spans="1:26" x14ac:dyDescent="0.25">
      <c r="A91" s="6"/>
      <c r="B91" s="7"/>
      <c r="C91" s="7"/>
      <c r="D91" s="7"/>
      <c r="E91" s="7"/>
      <c r="F91" s="5"/>
      <c r="G91" s="5"/>
      <c r="H91" s="5"/>
      <c r="I91" s="5"/>
      <c r="J91" s="5"/>
      <c r="K91" s="5"/>
      <c r="L91" s="5"/>
      <c r="M91" s="5"/>
      <c r="N91" s="5"/>
      <c r="O91" s="5"/>
      <c r="P91" s="5"/>
      <c r="Q91" s="5"/>
      <c r="R91" s="5"/>
      <c r="S91" s="5"/>
      <c r="T91" s="5"/>
      <c r="U91" s="5"/>
      <c r="V91" s="5"/>
      <c r="W91" s="5"/>
      <c r="X91" s="5"/>
      <c r="Y91" s="5"/>
      <c r="Z91" s="5"/>
    </row>
    <row r="92" spans="1:26" x14ac:dyDescent="0.25">
      <c r="A92" s="6"/>
      <c r="B92" s="7"/>
      <c r="C92" s="7"/>
      <c r="D92" s="7"/>
      <c r="E92" s="7"/>
      <c r="F92" s="5"/>
      <c r="G92" s="5"/>
      <c r="H92" s="5"/>
      <c r="I92" s="5"/>
      <c r="J92" s="5"/>
      <c r="K92" s="5"/>
      <c r="L92" s="5"/>
      <c r="M92" s="5"/>
      <c r="N92" s="5"/>
      <c r="O92" s="5"/>
      <c r="P92" s="5"/>
      <c r="Q92" s="5"/>
      <c r="R92" s="5"/>
      <c r="S92" s="5"/>
      <c r="T92" s="5"/>
      <c r="U92" s="5"/>
      <c r="V92" s="5"/>
      <c r="W92" s="5"/>
      <c r="X92" s="5"/>
      <c r="Y92" s="5"/>
      <c r="Z92" s="5"/>
    </row>
    <row r="93" spans="1:26" x14ac:dyDescent="0.25">
      <c r="A93" s="6"/>
      <c r="B93" s="7"/>
      <c r="C93" s="7"/>
      <c r="D93" s="7"/>
      <c r="E93" s="7"/>
      <c r="F93" s="5"/>
      <c r="G93" s="5"/>
      <c r="H93" s="5"/>
      <c r="I93" s="5"/>
      <c r="J93" s="5"/>
      <c r="K93" s="5"/>
      <c r="L93" s="5"/>
      <c r="M93" s="5"/>
      <c r="N93" s="5"/>
      <c r="O93" s="5"/>
      <c r="P93" s="5"/>
      <c r="Q93" s="5"/>
      <c r="R93" s="5"/>
      <c r="S93" s="5"/>
      <c r="T93" s="5"/>
      <c r="U93" s="5"/>
      <c r="V93" s="5"/>
      <c r="W93" s="5"/>
      <c r="X93" s="5"/>
      <c r="Y93" s="5"/>
      <c r="Z93" s="5"/>
    </row>
    <row r="94" spans="1:26" x14ac:dyDescent="0.25">
      <c r="A94" s="6"/>
      <c r="B94" s="7"/>
      <c r="C94" s="7"/>
      <c r="D94" s="7"/>
      <c r="E94" s="7"/>
      <c r="F94" s="5"/>
      <c r="G94" s="5"/>
      <c r="H94" s="5"/>
      <c r="I94" s="5"/>
      <c r="J94" s="5"/>
      <c r="K94" s="5"/>
      <c r="L94" s="5"/>
      <c r="M94" s="5"/>
      <c r="N94" s="5"/>
      <c r="O94" s="5"/>
      <c r="P94" s="5"/>
      <c r="Q94" s="5"/>
      <c r="R94" s="5"/>
      <c r="S94" s="5"/>
      <c r="T94" s="5"/>
      <c r="U94" s="5"/>
      <c r="V94" s="5"/>
      <c r="W94" s="5"/>
      <c r="X94" s="5"/>
      <c r="Y94" s="5"/>
      <c r="Z94" s="5"/>
    </row>
    <row r="95" spans="1:26" x14ac:dyDescent="0.25">
      <c r="A95" s="6"/>
      <c r="B95" s="7"/>
      <c r="C95" s="7"/>
      <c r="D95" s="7"/>
      <c r="E95" s="7"/>
      <c r="F95" s="5"/>
      <c r="G95" s="5"/>
      <c r="H95" s="5"/>
      <c r="I95" s="5"/>
      <c r="J95" s="5"/>
      <c r="K95" s="5"/>
      <c r="L95" s="5"/>
      <c r="M95" s="5"/>
      <c r="N95" s="5"/>
      <c r="O95" s="5"/>
      <c r="P95" s="5"/>
      <c r="Q95" s="5"/>
      <c r="R95" s="5"/>
      <c r="S95" s="5"/>
      <c r="T95" s="5"/>
      <c r="U95" s="5"/>
      <c r="V95" s="5"/>
      <c r="W95" s="5"/>
      <c r="X95" s="5"/>
      <c r="Y95" s="5"/>
      <c r="Z95" s="5"/>
    </row>
    <row r="96" spans="1:26" x14ac:dyDescent="0.25">
      <c r="A96" s="6"/>
      <c r="B96" s="7"/>
      <c r="C96" s="7"/>
      <c r="D96" s="7"/>
      <c r="E96" s="7"/>
      <c r="F96" s="5"/>
      <c r="G96" s="5"/>
      <c r="H96" s="5"/>
      <c r="I96" s="5"/>
      <c r="J96" s="5"/>
      <c r="K96" s="5"/>
      <c r="L96" s="5"/>
      <c r="M96" s="5"/>
      <c r="N96" s="5"/>
      <c r="O96" s="5"/>
      <c r="P96" s="5"/>
      <c r="Q96" s="5"/>
      <c r="R96" s="5"/>
      <c r="S96" s="5"/>
      <c r="T96" s="5"/>
      <c r="U96" s="5"/>
      <c r="V96" s="5"/>
      <c r="W96" s="5"/>
      <c r="X96" s="5"/>
      <c r="Y96" s="5"/>
      <c r="Z96" s="5"/>
    </row>
    <row r="97" spans="1:26" x14ac:dyDescent="0.25">
      <c r="A97" s="6"/>
      <c r="B97" s="7"/>
      <c r="C97" s="7"/>
      <c r="D97" s="7"/>
      <c r="E97" s="7"/>
      <c r="F97" s="5"/>
      <c r="G97" s="5"/>
      <c r="H97" s="5"/>
      <c r="I97" s="5"/>
      <c r="J97" s="5"/>
      <c r="K97" s="5"/>
      <c r="L97" s="5"/>
      <c r="M97" s="5"/>
      <c r="N97" s="5"/>
      <c r="O97" s="5"/>
      <c r="P97" s="5"/>
      <c r="Q97" s="5"/>
      <c r="R97" s="5"/>
      <c r="S97" s="5"/>
      <c r="T97" s="5"/>
      <c r="U97" s="5"/>
      <c r="V97" s="5"/>
      <c r="W97" s="5"/>
      <c r="X97" s="5"/>
      <c r="Y97" s="5"/>
      <c r="Z97" s="5"/>
    </row>
    <row r="98" spans="1:26" x14ac:dyDescent="0.25">
      <c r="A98" s="6"/>
      <c r="B98" s="7"/>
      <c r="C98" s="7"/>
      <c r="D98" s="7"/>
      <c r="E98" s="7"/>
      <c r="F98" s="5"/>
      <c r="G98" s="5"/>
      <c r="H98" s="5"/>
      <c r="I98" s="5"/>
      <c r="J98" s="5"/>
      <c r="K98" s="5"/>
      <c r="L98" s="5"/>
      <c r="M98" s="5"/>
      <c r="N98" s="5"/>
      <c r="O98" s="5"/>
      <c r="P98" s="5"/>
      <c r="Q98" s="5"/>
      <c r="R98" s="5"/>
      <c r="S98" s="5"/>
      <c r="T98" s="5"/>
      <c r="U98" s="5"/>
      <c r="V98" s="5"/>
      <c r="W98" s="5"/>
      <c r="X98" s="5"/>
      <c r="Y98" s="5"/>
      <c r="Z98" s="5"/>
    </row>
    <row r="99" spans="1:26" x14ac:dyDescent="0.25">
      <c r="A99" s="6"/>
      <c r="B99" s="7"/>
      <c r="C99" s="7"/>
      <c r="D99" s="7"/>
      <c r="E99" s="7"/>
      <c r="F99" s="5"/>
      <c r="G99" s="5"/>
      <c r="H99" s="5"/>
      <c r="I99" s="5"/>
      <c r="J99" s="5"/>
      <c r="K99" s="5"/>
      <c r="L99" s="5"/>
      <c r="M99" s="5"/>
      <c r="N99" s="5"/>
      <c r="O99" s="5"/>
      <c r="P99" s="5"/>
      <c r="Q99" s="5"/>
      <c r="R99" s="5"/>
      <c r="S99" s="5"/>
      <c r="T99" s="5"/>
      <c r="U99" s="5"/>
      <c r="V99" s="5"/>
      <c r="W99" s="5"/>
      <c r="X99" s="5"/>
      <c r="Y99" s="5"/>
      <c r="Z99" s="5"/>
    </row>
    <row r="100" spans="1:26" x14ac:dyDescent="0.25">
      <c r="A100" s="6"/>
      <c r="B100" s="7"/>
      <c r="C100" s="7"/>
      <c r="D100" s="7"/>
      <c r="E100" s="7"/>
      <c r="F100" s="5"/>
      <c r="G100" s="5"/>
      <c r="H100" s="5"/>
      <c r="I100" s="5"/>
      <c r="J100" s="5"/>
      <c r="K100" s="5"/>
      <c r="L100" s="5"/>
      <c r="M100" s="5"/>
      <c r="N100" s="5"/>
      <c r="O100" s="5"/>
      <c r="P100" s="5"/>
      <c r="Q100" s="5"/>
      <c r="R100" s="5"/>
      <c r="S100" s="5"/>
      <c r="T100" s="5"/>
      <c r="U100" s="5"/>
      <c r="V100" s="5"/>
      <c r="W100" s="5"/>
      <c r="X100" s="5"/>
      <c r="Y100" s="5"/>
      <c r="Z100" s="5"/>
    </row>
    <row r="101" spans="1:26" x14ac:dyDescent="0.25">
      <c r="A101" s="6"/>
      <c r="B101" s="7"/>
      <c r="C101" s="7"/>
      <c r="D101" s="7"/>
      <c r="E101" s="7"/>
      <c r="F101" s="5"/>
      <c r="G101" s="5"/>
      <c r="H101" s="5"/>
      <c r="I101" s="5"/>
      <c r="J101" s="5"/>
      <c r="K101" s="5"/>
      <c r="L101" s="5"/>
      <c r="M101" s="5"/>
      <c r="N101" s="5"/>
      <c r="O101" s="5"/>
      <c r="P101" s="5"/>
      <c r="Q101" s="5"/>
      <c r="R101" s="5"/>
      <c r="S101" s="5"/>
      <c r="T101" s="5"/>
      <c r="U101" s="5"/>
      <c r="V101" s="5"/>
      <c r="W101" s="5"/>
      <c r="X101" s="5"/>
      <c r="Y101" s="5"/>
      <c r="Z101" s="5"/>
    </row>
    <row r="102" spans="1:26" x14ac:dyDescent="0.25">
      <c r="A102" s="6"/>
      <c r="B102" s="7"/>
      <c r="C102" s="7"/>
      <c r="D102" s="7"/>
      <c r="E102" s="7"/>
      <c r="F102" s="5"/>
      <c r="G102" s="5"/>
      <c r="H102" s="5"/>
      <c r="I102" s="5"/>
      <c r="J102" s="5"/>
      <c r="K102" s="5"/>
      <c r="L102" s="5"/>
      <c r="M102" s="5"/>
      <c r="N102" s="5"/>
      <c r="O102" s="5"/>
      <c r="P102" s="5"/>
      <c r="Q102" s="5"/>
      <c r="R102" s="5"/>
      <c r="S102" s="5"/>
      <c r="T102" s="5"/>
      <c r="U102" s="5"/>
      <c r="V102" s="5"/>
      <c r="W102" s="5"/>
      <c r="X102" s="5"/>
      <c r="Y102" s="5"/>
      <c r="Z102" s="5"/>
    </row>
    <row r="103" spans="1:26" x14ac:dyDescent="0.25">
      <c r="A103" s="6"/>
      <c r="B103" s="7"/>
      <c r="C103" s="7"/>
      <c r="D103" s="7"/>
      <c r="E103" s="7"/>
      <c r="F103" s="5"/>
      <c r="G103" s="5"/>
      <c r="H103" s="5"/>
      <c r="I103" s="5"/>
      <c r="J103" s="5"/>
      <c r="K103" s="5"/>
      <c r="L103" s="5"/>
      <c r="M103" s="5"/>
      <c r="N103" s="5"/>
      <c r="O103" s="5"/>
      <c r="P103" s="5"/>
      <c r="Q103" s="5"/>
      <c r="R103" s="5"/>
      <c r="S103" s="5"/>
      <c r="T103" s="5"/>
      <c r="U103" s="5"/>
      <c r="V103" s="5"/>
      <c r="W103" s="5"/>
      <c r="X103" s="5"/>
      <c r="Y103" s="5"/>
      <c r="Z103" s="5"/>
    </row>
    <row r="104" spans="1:26"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row>
    <row r="105" spans="1:26"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row>
    <row r="106" spans="1:26"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x14ac:dyDescent="0.2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row>
    <row r="109" spans="1:26"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row>
    <row r="110" spans="1:26"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row>
    <row r="111" spans="1:26"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row>
    <row r="112" spans="1:26"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row>
    <row r="113" spans="1:26" x14ac:dyDescent="0.25">
      <c r="A113" s="5" t="s">
        <v>0</v>
      </c>
      <c r="B113" s="5" t="s" vm="1">
        <v>48</v>
      </c>
      <c r="C113" s="5"/>
      <c r="D113" s="5"/>
      <c r="E113" s="5"/>
      <c r="F113" s="5"/>
      <c r="G113" s="5"/>
      <c r="H113" s="5"/>
      <c r="I113" s="5"/>
      <c r="J113" s="5"/>
      <c r="K113" s="5"/>
      <c r="L113" s="5"/>
      <c r="M113" s="5"/>
      <c r="N113" s="5"/>
      <c r="O113" s="5"/>
      <c r="P113" s="5"/>
      <c r="Q113" s="5"/>
      <c r="R113" s="5"/>
      <c r="S113" s="5"/>
      <c r="T113" s="5"/>
      <c r="U113" s="5"/>
      <c r="V113" s="5"/>
      <c r="W113" s="5"/>
      <c r="X113" s="5"/>
      <c r="Y113" s="5"/>
      <c r="Z113" s="5"/>
    </row>
    <row r="114" spans="1:26" x14ac:dyDescent="0.25">
      <c r="A114" s="5" t="s">
        <v>1</v>
      </c>
      <c r="B114" s="5" t="s" vm="2">
        <v>48</v>
      </c>
      <c r="C114" s="5"/>
      <c r="D114" s="5"/>
      <c r="E114" s="5"/>
      <c r="F114" s="5"/>
      <c r="G114" s="5"/>
      <c r="H114" s="5"/>
      <c r="I114" s="5"/>
      <c r="J114" s="5"/>
      <c r="K114" s="5"/>
      <c r="L114" s="5"/>
      <c r="M114" s="5"/>
      <c r="N114" s="5"/>
      <c r="O114" s="5"/>
      <c r="P114" s="5"/>
      <c r="Q114" s="5"/>
      <c r="R114" s="5"/>
      <c r="S114" s="5"/>
      <c r="T114" s="5"/>
      <c r="U114" s="5"/>
      <c r="V114" s="5"/>
      <c r="W114" s="5"/>
      <c r="X114" s="5"/>
      <c r="Y114" s="5"/>
      <c r="Z114" s="5"/>
    </row>
    <row r="115" spans="1:26"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row>
    <row r="116" spans="1:26" x14ac:dyDescent="0.25">
      <c r="A116" s="5" t="s">
        <v>40</v>
      </c>
      <c r="B116" s="5" t="s">
        <v>42</v>
      </c>
      <c r="C116" s="5"/>
      <c r="D116" s="5"/>
      <c r="E116" s="5"/>
      <c r="F116" s="5"/>
      <c r="G116" s="5"/>
      <c r="H116" s="5"/>
      <c r="I116" s="5"/>
      <c r="J116" s="5"/>
      <c r="K116" s="5"/>
      <c r="L116" s="5"/>
      <c r="M116" s="5"/>
      <c r="N116" s="5"/>
      <c r="O116" s="5"/>
      <c r="P116" s="5"/>
      <c r="Q116" s="5"/>
      <c r="R116" s="5"/>
      <c r="S116" s="5"/>
      <c r="T116" s="5"/>
      <c r="U116" s="5"/>
      <c r="V116" s="5"/>
      <c r="W116" s="5"/>
      <c r="X116" s="5"/>
      <c r="Y116" s="5"/>
      <c r="Z116" s="5"/>
    </row>
    <row r="117" spans="1:26" x14ac:dyDescent="0.25">
      <c r="A117" s="6" t="s">
        <v>24</v>
      </c>
      <c r="B117" s="8">
        <v>0.1297699780820378</v>
      </c>
      <c r="C117" s="5"/>
      <c r="D117" s="5"/>
      <c r="E117" s="5"/>
      <c r="F117" s="5"/>
      <c r="G117" s="5"/>
      <c r="H117" s="5"/>
      <c r="I117" s="5"/>
      <c r="J117" s="5"/>
      <c r="K117" s="5"/>
      <c r="L117" s="5"/>
      <c r="M117" s="5"/>
      <c r="N117" s="5"/>
      <c r="O117" s="5"/>
      <c r="P117" s="5"/>
      <c r="Q117" s="5"/>
      <c r="R117" s="5"/>
      <c r="S117" s="5"/>
      <c r="T117" s="5"/>
      <c r="U117" s="5"/>
      <c r="V117" s="5"/>
      <c r="W117" s="5"/>
      <c r="X117" s="5"/>
      <c r="Y117" s="5"/>
      <c r="Z117" s="5"/>
    </row>
    <row r="118" spans="1:26" x14ac:dyDescent="0.25">
      <c r="A118" s="6" t="s">
        <v>13</v>
      </c>
      <c r="B118" s="8">
        <v>3.3347367763236192E-2</v>
      </c>
      <c r="C118" s="5"/>
      <c r="D118" s="5"/>
      <c r="E118" s="5"/>
      <c r="F118" s="5"/>
      <c r="G118" s="5"/>
      <c r="H118" s="5"/>
      <c r="I118" s="5"/>
      <c r="J118" s="5"/>
      <c r="K118" s="5"/>
      <c r="L118" s="5"/>
      <c r="M118" s="5"/>
      <c r="N118" s="5"/>
      <c r="O118" s="5"/>
      <c r="P118" s="5"/>
      <c r="Q118" s="5"/>
      <c r="R118" s="5"/>
      <c r="S118" s="5"/>
      <c r="T118" s="5"/>
      <c r="U118" s="5"/>
      <c r="V118" s="5"/>
      <c r="W118" s="5"/>
      <c r="X118" s="5"/>
      <c r="Y118" s="5"/>
      <c r="Z118" s="5"/>
    </row>
    <row r="119" spans="1:26" x14ac:dyDescent="0.25">
      <c r="A119" s="6" t="s">
        <v>14</v>
      </c>
      <c r="B119" s="8">
        <v>2.0099154369493492E-2</v>
      </c>
      <c r="C119" s="5"/>
      <c r="D119" s="5"/>
      <c r="E119" s="5"/>
      <c r="F119" s="5"/>
      <c r="G119" s="5"/>
      <c r="H119" s="5"/>
      <c r="I119" s="5"/>
      <c r="J119" s="5"/>
      <c r="K119" s="5"/>
      <c r="L119" s="5"/>
      <c r="M119" s="5"/>
      <c r="N119" s="5"/>
      <c r="O119" s="5"/>
      <c r="P119" s="5"/>
      <c r="Q119" s="5"/>
      <c r="R119" s="5"/>
      <c r="S119" s="5"/>
      <c r="T119" s="5"/>
      <c r="U119" s="5"/>
      <c r="V119" s="5"/>
      <c r="W119" s="5"/>
      <c r="X119" s="5"/>
      <c r="Y119" s="5"/>
      <c r="Z119" s="5"/>
    </row>
    <row r="120" spans="1:26" x14ac:dyDescent="0.25">
      <c r="A120" s="6" t="s">
        <v>26</v>
      </c>
      <c r="B120" s="8">
        <v>0.10809533127642657</v>
      </c>
      <c r="C120" s="5"/>
      <c r="D120" s="5"/>
      <c r="E120" s="5"/>
      <c r="F120" s="5"/>
      <c r="G120" s="5"/>
      <c r="H120" s="5"/>
      <c r="I120" s="5"/>
      <c r="J120" s="5"/>
      <c r="K120" s="5"/>
      <c r="L120" s="5"/>
      <c r="M120" s="5"/>
      <c r="N120" s="5"/>
      <c r="O120" s="5"/>
      <c r="P120" s="5"/>
      <c r="Q120" s="5"/>
      <c r="R120" s="5"/>
      <c r="S120" s="5"/>
      <c r="T120" s="5"/>
      <c r="U120" s="5"/>
      <c r="V120" s="5"/>
      <c r="W120" s="5"/>
      <c r="X120" s="5"/>
      <c r="Y120" s="5"/>
      <c r="Z120" s="5"/>
    </row>
    <row r="121" spans="1:26" x14ac:dyDescent="0.25">
      <c r="A121" s="6" t="s">
        <v>17</v>
      </c>
      <c r="B121" s="8">
        <v>1.9857844204697977E-2</v>
      </c>
      <c r="C121" s="5"/>
      <c r="D121" s="5"/>
      <c r="E121" s="5"/>
      <c r="F121" s="5"/>
      <c r="G121" s="5"/>
      <c r="H121" s="5"/>
      <c r="I121" s="5"/>
      <c r="J121" s="5"/>
      <c r="K121" s="5"/>
      <c r="L121" s="5"/>
      <c r="M121" s="5"/>
      <c r="N121" s="5"/>
      <c r="O121" s="5"/>
      <c r="P121" s="5"/>
      <c r="Q121" s="5"/>
      <c r="R121" s="5"/>
      <c r="S121" s="5"/>
      <c r="T121" s="5"/>
      <c r="U121" s="5"/>
      <c r="V121" s="5"/>
      <c r="W121" s="5"/>
      <c r="X121" s="5"/>
      <c r="Y121" s="5"/>
      <c r="Z121" s="5"/>
    </row>
    <row r="122" spans="1:26" x14ac:dyDescent="0.25">
      <c r="A122" s="6" t="s">
        <v>20</v>
      </c>
      <c r="B122" s="8">
        <v>0.15041287972790285</v>
      </c>
      <c r="C122" s="5"/>
      <c r="D122" s="5"/>
      <c r="E122" s="5"/>
      <c r="F122" s="5"/>
      <c r="G122" s="5"/>
      <c r="H122" s="5"/>
      <c r="I122" s="5"/>
      <c r="J122" s="5"/>
      <c r="K122" s="5"/>
      <c r="L122" s="5"/>
      <c r="M122" s="5"/>
      <c r="N122" s="5"/>
      <c r="O122" s="5"/>
      <c r="P122" s="5"/>
      <c r="Q122" s="5"/>
      <c r="R122" s="5"/>
      <c r="S122" s="5"/>
      <c r="T122" s="5"/>
      <c r="U122" s="5"/>
      <c r="V122" s="5"/>
      <c r="W122" s="5"/>
      <c r="X122" s="5"/>
      <c r="Y122" s="5"/>
      <c r="Z122" s="5"/>
    </row>
    <row r="123" spans="1:26" x14ac:dyDescent="0.25">
      <c r="A123" s="6" t="s">
        <v>8</v>
      </c>
      <c r="B123" s="8">
        <v>1.8982736341840892E-2</v>
      </c>
      <c r="C123" s="5"/>
      <c r="D123" s="5"/>
      <c r="E123" s="5"/>
      <c r="F123" s="5"/>
      <c r="G123" s="5"/>
      <c r="H123" s="5"/>
      <c r="I123" s="5"/>
      <c r="J123" s="5"/>
      <c r="K123" s="5"/>
      <c r="L123" s="5"/>
      <c r="M123" s="5"/>
      <c r="N123" s="5"/>
      <c r="O123" s="5"/>
      <c r="P123" s="5"/>
      <c r="Q123" s="5"/>
      <c r="R123" s="5"/>
      <c r="S123" s="5"/>
      <c r="T123" s="5"/>
      <c r="U123" s="5"/>
      <c r="V123" s="5"/>
      <c r="W123" s="5"/>
      <c r="X123" s="5"/>
      <c r="Y123" s="5"/>
      <c r="Z123" s="5"/>
    </row>
    <row r="124" spans="1:26" x14ac:dyDescent="0.25">
      <c r="A124" s="6" t="s">
        <v>7</v>
      </c>
      <c r="B124" s="8">
        <v>5.0517908146384856E-2</v>
      </c>
      <c r="C124" s="5"/>
      <c r="D124" s="5"/>
      <c r="E124" s="5"/>
      <c r="F124" s="5"/>
      <c r="G124" s="5"/>
      <c r="H124" s="5"/>
      <c r="I124" s="5"/>
      <c r="J124" s="5"/>
      <c r="K124" s="5"/>
      <c r="L124" s="5"/>
      <c r="M124" s="5"/>
      <c r="N124" s="5"/>
      <c r="O124" s="5"/>
      <c r="P124" s="5"/>
      <c r="Q124" s="5"/>
      <c r="R124" s="5"/>
      <c r="S124" s="5"/>
      <c r="T124" s="5"/>
      <c r="U124" s="5"/>
      <c r="V124" s="5"/>
      <c r="W124" s="5"/>
      <c r="X124" s="5"/>
      <c r="Y124" s="5"/>
      <c r="Z124" s="5"/>
    </row>
    <row r="125" spans="1:26" x14ac:dyDescent="0.25">
      <c r="A125" s="6" t="s">
        <v>9</v>
      </c>
      <c r="B125" s="8">
        <v>1.6902567745444004E-3</v>
      </c>
    </row>
    <row r="126" spans="1:26" x14ac:dyDescent="0.25">
      <c r="A126" s="6" t="s">
        <v>6</v>
      </c>
      <c r="B126" s="8">
        <v>3.0889386183047433E-2</v>
      </c>
    </row>
    <row r="127" spans="1:26" x14ac:dyDescent="0.25">
      <c r="A127" s="6" t="s">
        <v>11</v>
      </c>
      <c r="B127" s="8">
        <v>1.9361457212698018E-2</v>
      </c>
    </row>
    <row r="128" spans="1:26" x14ac:dyDescent="0.25">
      <c r="A128" s="6" t="s">
        <v>25</v>
      </c>
      <c r="B128" s="8">
        <v>7.2397585212240281E-2</v>
      </c>
    </row>
    <row r="129" spans="1:2" x14ac:dyDescent="0.25">
      <c r="A129" s="6" t="s">
        <v>29</v>
      </c>
      <c r="B129" s="8">
        <v>9.7636057067353219E-2</v>
      </c>
    </row>
    <row r="130" spans="1:2" x14ac:dyDescent="0.25">
      <c r="A130" s="6" t="s">
        <v>18</v>
      </c>
      <c r="B130" s="8">
        <v>6.437203376165794E-2</v>
      </c>
    </row>
    <row r="131" spans="1:2" x14ac:dyDescent="0.25">
      <c r="A131" s="6" t="s">
        <v>21</v>
      </c>
      <c r="B131" s="8">
        <v>1.6267641639932683E-2</v>
      </c>
    </row>
    <row r="132" spans="1:2" x14ac:dyDescent="0.25">
      <c r="A132" s="6" t="s">
        <v>27</v>
      </c>
      <c r="B132" s="8">
        <v>0.16630238223650512</v>
      </c>
    </row>
    <row r="133" spans="1:2" x14ac:dyDescent="0.25">
      <c r="A133" s="6" t="s">
        <v>41</v>
      </c>
      <c r="B133" s="8">
        <v>1</v>
      </c>
    </row>
  </sheetData>
  <mergeCells count="1">
    <mergeCell ref="N1:Q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0070F-E2F3-458E-B6F4-83EE1D4727CC}">
  <sheetPr codeName="Sheet6"/>
  <dimension ref="A1:M102"/>
  <sheetViews>
    <sheetView workbookViewId="0">
      <selection activeCell="E10" sqref="E10"/>
    </sheetView>
  </sheetViews>
  <sheetFormatPr defaultRowHeight="15" x14ac:dyDescent="0.25"/>
  <cols>
    <col min="1" max="1" width="19.42578125" bestFit="1" customWidth="1"/>
    <col min="2" max="2" width="17.7109375" bestFit="1" customWidth="1"/>
    <col min="3" max="5" width="16.85546875" bestFit="1" customWidth="1"/>
    <col min="6" max="6" width="27.85546875" customWidth="1"/>
    <col min="10" max="10" width="14.28515625" bestFit="1" customWidth="1"/>
    <col min="11" max="11" width="16" bestFit="1" customWidth="1"/>
    <col min="12" max="12" width="9" bestFit="1" customWidth="1"/>
    <col min="13" max="13" width="7.5703125" bestFit="1" customWidth="1"/>
  </cols>
  <sheetData>
    <row r="1" spans="1:13" s="3" customFormat="1" x14ac:dyDescent="0.25">
      <c r="J1" s="56" t="s">
        <v>49</v>
      </c>
      <c r="K1" s="56"/>
      <c r="L1" s="56"/>
      <c r="M1" s="56"/>
    </row>
    <row r="2" spans="1:13" s="3" customFormat="1" x14ac:dyDescent="0.25">
      <c r="J2" s="9" t="s">
        <v>50</v>
      </c>
      <c r="K2" s="9" t="s">
        <v>51</v>
      </c>
      <c r="L2" s="9" t="s">
        <v>53</v>
      </c>
      <c r="M2" s="10" t="s">
        <v>54</v>
      </c>
    </row>
    <row r="3" spans="1:13" s="3" customFormat="1" x14ac:dyDescent="0.25">
      <c r="A3" s="18" t="s">
        <v>55</v>
      </c>
      <c r="B3" s="18" t="s">
        <v>43</v>
      </c>
      <c r="C3" s="18"/>
      <c r="D3" s="18"/>
      <c r="E3" s="18"/>
      <c r="J3" s="11">
        <f>GETPIVOTDATA("[Measures].[Sum of Chi Phí- Dài]",$A$3)</f>
        <v>4171696970.4262152</v>
      </c>
      <c r="K3" s="10">
        <f>COUNTA(A49:A70)-2</f>
        <v>8</v>
      </c>
      <c r="L3" s="12">
        <f>J3/GETPIVOTDATA("[Measures].[Sum of Chi Phí- Dài]",$A$26)</f>
        <v>1</v>
      </c>
      <c r="M3" s="13">
        <f>GETPIVOTDATA("[Measures].[Average of KPI-dài]",$A$50)</f>
        <v>0.98347297297297298</v>
      </c>
    </row>
    <row r="4" spans="1:13" s="3" customFormat="1" x14ac:dyDescent="0.25">
      <c r="A4" s="18" t="s">
        <v>40</v>
      </c>
      <c r="B4" s="18" t="s">
        <v>5</v>
      </c>
      <c r="C4" s="18" t="s">
        <v>28</v>
      </c>
      <c r="D4" s="18" t="s">
        <v>22</v>
      </c>
      <c r="E4" s="18" t="s">
        <v>41</v>
      </c>
    </row>
    <row r="5" spans="1:13" s="3" customFormat="1" x14ac:dyDescent="0.25">
      <c r="A5" s="19">
        <v>4</v>
      </c>
      <c r="B5" s="18">
        <v>37576000</v>
      </c>
      <c r="C5" s="18">
        <v>758008282.81868291</v>
      </c>
      <c r="D5" s="18">
        <v>221062000</v>
      </c>
      <c r="E5" s="18">
        <v>1016646282.8186829</v>
      </c>
    </row>
    <row r="6" spans="1:13" s="3" customFormat="1" x14ac:dyDescent="0.25">
      <c r="A6" s="19">
        <v>5</v>
      </c>
      <c r="B6" s="18">
        <v>86907000</v>
      </c>
      <c r="C6" s="18">
        <v>631720715.50957608</v>
      </c>
      <c r="D6" s="18">
        <v>360541000</v>
      </c>
      <c r="E6" s="18">
        <v>1079168715.5095761</v>
      </c>
    </row>
    <row r="7" spans="1:13" s="3" customFormat="1" x14ac:dyDescent="0.25">
      <c r="A7" s="19">
        <v>6</v>
      </c>
      <c r="B7" s="18">
        <v>16948000</v>
      </c>
      <c r="C7" s="18">
        <v>468671972.097956</v>
      </c>
      <c r="D7" s="18">
        <v>84714000</v>
      </c>
      <c r="E7" s="18">
        <v>570333972.09795594</v>
      </c>
    </row>
    <row r="8" spans="1:13" s="3" customFormat="1" x14ac:dyDescent="0.25">
      <c r="A8" s="19">
        <v>7</v>
      </c>
      <c r="B8" s="18"/>
      <c r="C8" s="18">
        <v>391101000</v>
      </c>
      <c r="D8" s="18">
        <v>289328000</v>
      </c>
      <c r="E8" s="18">
        <v>680429000</v>
      </c>
    </row>
    <row r="9" spans="1:13" s="3" customFormat="1" x14ac:dyDescent="0.25">
      <c r="A9" s="19">
        <v>8</v>
      </c>
      <c r="B9" s="18">
        <v>16948000</v>
      </c>
      <c r="C9" s="18">
        <v>537030000</v>
      </c>
      <c r="D9" s="18">
        <v>271141000</v>
      </c>
      <c r="E9" s="18">
        <v>825119000</v>
      </c>
    </row>
    <row r="10" spans="1:13" s="3" customFormat="1" x14ac:dyDescent="0.25">
      <c r="A10" s="19" t="s">
        <v>41</v>
      </c>
      <c r="B10" s="18">
        <v>158379000</v>
      </c>
      <c r="C10" s="18">
        <v>2786531970.4262152</v>
      </c>
      <c r="D10" s="18">
        <v>1226786000</v>
      </c>
      <c r="E10" s="18">
        <v>4171696970.4262152</v>
      </c>
    </row>
    <row r="11" spans="1:13" s="3" customFormat="1" x14ac:dyDescent="0.25">
      <c r="A11" s="19"/>
      <c r="B11" s="18"/>
      <c r="C11" s="18"/>
      <c r="D11" s="18"/>
      <c r="E11" s="18"/>
    </row>
    <row r="12" spans="1:13" s="3" customFormat="1" x14ac:dyDescent="0.25">
      <c r="A12" s="19"/>
      <c r="B12" s="18"/>
      <c r="C12" s="18"/>
      <c r="D12" s="18"/>
      <c r="E12" s="18"/>
    </row>
    <row r="13" spans="1:13" s="3" customFormat="1" x14ac:dyDescent="0.25">
      <c r="A13" s="19"/>
      <c r="B13" s="18"/>
      <c r="C13" s="18"/>
      <c r="D13" s="18"/>
      <c r="E13" s="18"/>
    </row>
    <row r="14" spans="1:13" s="3" customFormat="1" x14ac:dyDescent="0.25">
      <c r="A14" s="19"/>
      <c r="B14" s="18"/>
      <c r="C14" s="18"/>
      <c r="D14" s="18"/>
      <c r="E14" s="18"/>
    </row>
    <row r="15" spans="1:13" s="3" customFormat="1" x14ac:dyDescent="0.25">
      <c r="A15" s="19"/>
      <c r="B15" s="18"/>
      <c r="C15" s="18"/>
      <c r="D15" s="18"/>
      <c r="E15" s="18"/>
    </row>
    <row r="16" spans="1:13" s="3" customFormat="1" x14ac:dyDescent="0.25">
      <c r="A16" s="19"/>
      <c r="B16" s="18"/>
      <c r="C16" s="18"/>
      <c r="D16" s="18"/>
      <c r="E16" s="18"/>
    </row>
    <row r="17" spans="1:5" s="3" customFormat="1" x14ac:dyDescent="0.25"/>
    <row r="18" spans="1:5" s="3" customFormat="1" x14ac:dyDescent="0.25"/>
    <row r="19" spans="1:5" s="3" customFormat="1" x14ac:dyDescent="0.25"/>
    <row r="20" spans="1:5" s="3" customFormat="1" x14ac:dyDescent="0.25"/>
    <row r="21" spans="1:5" s="3" customFormat="1" x14ac:dyDescent="0.25"/>
    <row r="22" spans="1:5" s="3" customFormat="1" x14ac:dyDescent="0.25"/>
    <row r="23" spans="1:5" s="3" customFormat="1" x14ac:dyDescent="0.25"/>
    <row r="24" spans="1:5" s="3" customFormat="1" x14ac:dyDescent="0.25"/>
    <row r="25" spans="1:5" s="3" customFormat="1" x14ac:dyDescent="0.25"/>
    <row r="26" spans="1:5" s="3" customFormat="1" x14ac:dyDescent="0.25">
      <c r="A26" s="3" t="s">
        <v>55</v>
      </c>
      <c r="B26" s="3" t="s">
        <v>43</v>
      </c>
    </row>
    <row r="27" spans="1:5" s="3" customFormat="1" x14ac:dyDescent="0.25">
      <c r="A27" s="3" t="s">
        <v>40</v>
      </c>
      <c r="B27" s="3" t="s">
        <v>5</v>
      </c>
      <c r="C27" s="3" t="s">
        <v>28</v>
      </c>
      <c r="D27" s="3" t="s">
        <v>22</v>
      </c>
      <c r="E27" s="3" t="s">
        <v>41</v>
      </c>
    </row>
    <row r="28" spans="1:5" s="3" customFormat="1" x14ac:dyDescent="0.25">
      <c r="A28" s="14">
        <v>4</v>
      </c>
      <c r="B28" s="58">
        <v>37576000</v>
      </c>
      <c r="C28" s="58">
        <v>758008282.81868291</v>
      </c>
      <c r="D28" s="58">
        <v>221062000</v>
      </c>
      <c r="E28" s="58">
        <v>1016646282.8186829</v>
      </c>
    </row>
    <row r="29" spans="1:5" s="3" customFormat="1" x14ac:dyDescent="0.25">
      <c r="A29" s="14">
        <v>5</v>
      </c>
      <c r="B29" s="58">
        <v>86907000</v>
      </c>
      <c r="C29" s="58">
        <v>631720715.50957608</v>
      </c>
      <c r="D29" s="58">
        <v>360541000</v>
      </c>
      <c r="E29" s="58">
        <v>1079168715.5095761</v>
      </c>
    </row>
    <row r="30" spans="1:5" s="3" customFormat="1" x14ac:dyDescent="0.25">
      <c r="A30" s="14">
        <v>6</v>
      </c>
      <c r="B30" s="58">
        <v>16948000</v>
      </c>
      <c r="C30" s="58">
        <v>468671972.097956</v>
      </c>
      <c r="D30" s="58">
        <v>84714000</v>
      </c>
      <c r="E30" s="58">
        <v>570333972.09795594</v>
      </c>
    </row>
    <row r="31" spans="1:5" s="3" customFormat="1" x14ac:dyDescent="0.25">
      <c r="A31" s="14">
        <v>7</v>
      </c>
      <c r="B31" s="58"/>
      <c r="C31" s="58">
        <v>391101000</v>
      </c>
      <c r="D31" s="58">
        <v>289328000</v>
      </c>
      <c r="E31" s="58">
        <v>680429000</v>
      </c>
    </row>
    <row r="32" spans="1:5" s="3" customFormat="1" x14ac:dyDescent="0.25">
      <c r="A32" s="14">
        <v>8</v>
      </c>
      <c r="B32" s="58">
        <v>16948000</v>
      </c>
      <c r="C32" s="58">
        <v>537030000</v>
      </c>
      <c r="D32" s="58">
        <v>271141000</v>
      </c>
      <c r="E32" s="58">
        <v>825119000</v>
      </c>
    </row>
    <row r="33" spans="1:5" s="3" customFormat="1" x14ac:dyDescent="0.25">
      <c r="A33" s="14" t="s">
        <v>41</v>
      </c>
      <c r="B33" s="58">
        <v>158379000</v>
      </c>
      <c r="C33" s="58">
        <v>2786531970.4262152</v>
      </c>
      <c r="D33" s="58">
        <v>1226786000</v>
      </c>
      <c r="E33" s="58">
        <v>4171696970.4262152</v>
      </c>
    </row>
    <row r="34" spans="1:5" s="3" customFormat="1" x14ac:dyDescent="0.25">
      <c r="A34" s="14"/>
    </row>
    <row r="35" spans="1:5" s="3" customFormat="1" x14ac:dyDescent="0.25">
      <c r="A35" s="14"/>
    </row>
    <row r="36" spans="1:5" s="3" customFormat="1" x14ac:dyDescent="0.25">
      <c r="A36" s="14"/>
    </row>
    <row r="37" spans="1:5" s="3" customFormat="1" x14ac:dyDescent="0.25">
      <c r="A37" s="14"/>
    </row>
    <row r="38" spans="1:5" s="3" customFormat="1" x14ac:dyDescent="0.25">
      <c r="A38" s="14"/>
    </row>
    <row r="39" spans="1:5" s="3" customFormat="1" x14ac:dyDescent="0.25">
      <c r="A39" s="14"/>
    </row>
    <row r="40" spans="1:5" s="3" customFormat="1" x14ac:dyDescent="0.25">
      <c r="A40" s="14"/>
    </row>
    <row r="41" spans="1:5" s="3" customFormat="1" x14ac:dyDescent="0.25">
      <c r="A41" s="14"/>
    </row>
    <row r="42" spans="1:5" s="3" customFormat="1" x14ac:dyDescent="0.25">
      <c r="A42" s="14"/>
    </row>
    <row r="43" spans="1:5" s="3" customFormat="1" x14ac:dyDescent="0.25">
      <c r="A43" s="14"/>
    </row>
    <row r="44" spans="1:5" s="3" customFormat="1" x14ac:dyDescent="0.25"/>
    <row r="45" spans="1:5" s="3" customFormat="1" x14ac:dyDescent="0.25"/>
    <row r="46" spans="1:5" s="3" customFormat="1" x14ac:dyDescent="0.25"/>
    <row r="47" spans="1:5" s="3" customFormat="1" x14ac:dyDescent="0.25"/>
    <row r="48" spans="1:5" s="15" customFormat="1" x14ac:dyDescent="0.25"/>
    <row r="49" spans="1:5" s="15" customFormat="1" x14ac:dyDescent="0.25"/>
    <row r="50" spans="1:5" s="15" customFormat="1" x14ac:dyDescent="0.25">
      <c r="A50" s="15" t="s">
        <v>40</v>
      </c>
      <c r="B50" s="15" t="s">
        <v>56</v>
      </c>
      <c r="C50" s="15" t="s">
        <v>45</v>
      </c>
      <c r="D50" s="15" t="s">
        <v>46</v>
      </c>
      <c r="E50" s="15" t="s">
        <v>47</v>
      </c>
    </row>
    <row r="51" spans="1:5" s="15" customFormat="1" x14ac:dyDescent="0.25">
      <c r="A51" s="16" t="s">
        <v>31</v>
      </c>
      <c r="B51" s="17">
        <v>0.97994999999999999</v>
      </c>
      <c r="C51" s="17">
        <v>0.95</v>
      </c>
      <c r="D51" s="17">
        <v>0.9</v>
      </c>
      <c r="E51" s="17">
        <v>0.85</v>
      </c>
    </row>
    <row r="52" spans="1:5" s="15" customFormat="1" x14ac:dyDescent="0.25">
      <c r="A52" s="16" t="s">
        <v>20</v>
      </c>
      <c r="B52" s="17">
        <v>1</v>
      </c>
      <c r="C52" s="17">
        <v>0.95</v>
      </c>
      <c r="D52" s="17">
        <v>0.9</v>
      </c>
      <c r="E52" s="17">
        <v>0.85</v>
      </c>
    </row>
    <row r="53" spans="1:5" s="15" customFormat="1" x14ac:dyDescent="0.25">
      <c r="A53" s="16" t="s">
        <v>8</v>
      </c>
      <c r="B53" s="17">
        <v>0.9</v>
      </c>
      <c r="C53" s="17">
        <v>0.95</v>
      </c>
      <c r="D53" s="17">
        <v>0.9</v>
      </c>
      <c r="E53" s="17">
        <v>0.85</v>
      </c>
    </row>
    <row r="54" spans="1:5" s="15" customFormat="1" x14ac:dyDescent="0.25">
      <c r="A54" s="16" t="s">
        <v>7</v>
      </c>
      <c r="B54" s="17">
        <v>1</v>
      </c>
      <c r="C54" s="17">
        <v>0.95</v>
      </c>
      <c r="D54" s="17">
        <v>0.9</v>
      </c>
      <c r="E54" s="17">
        <v>0.85</v>
      </c>
    </row>
    <row r="55" spans="1:5" s="15" customFormat="1" x14ac:dyDescent="0.25">
      <c r="A55" s="16" t="s">
        <v>6</v>
      </c>
      <c r="B55" s="17">
        <v>0.93799999999999994</v>
      </c>
      <c r="C55" s="17">
        <v>0.95</v>
      </c>
      <c r="D55" s="17">
        <v>0.9</v>
      </c>
      <c r="E55" s="17">
        <v>0.85</v>
      </c>
    </row>
    <row r="56" spans="1:5" s="15" customFormat="1" x14ac:dyDescent="0.25">
      <c r="A56" s="16" t="s">
        <v>11</v>
      </c>
      <c r="B56" s="17">
        <v>0.98426923076923079</v>
      </c>
      <c r="C56" s="17">
        <v>0.95</v>
      </c>
      <c r="D56" s="17">
        <v>0.9</v>
      </c>
      <c r="E56" s="17">
        <v>0.85</v>
      </c>
    </row>
    <row r="57" spans="1:5" s="15" customFormat="1" x14ac:dyDescent="0.25">
      <c r="A57" s="16" t="s">
        <v>18</v>
      </c>
      <c r="B57" s="17">
        <v>0.99453999999999998</v>
      </c>
      <c r="C57" s="17">
        <v>0.95</v>
      </c>
      <c r="D57" s="17">
        <v>0.9</v>
      </c>
      <c r="E57" s="17">
        <v>0.85</v>
      </c>
    </row>
    <row r="58" spans="1:5" s="15" customFormat="1" x14ac:dyDescent="0.25">
      <c r="A58" s="16" t="s">
        <v>27</v>
      </c>
      <c r="B58" s="17">
        <v>0.98051999999999995</v>
      </c>
      <c r="C58" s="17">
        <v>0.95</v>
      </c>
      <c r="D58" s="17">
        <v>0.9</v>
      </c>
      <c r="E58" s="17">
        <v>0.85</v>
      </c>
    </row>
    <row r="59" spans="1:5" s="15" customFormat="1" x14ac:dyDescent="0.25">
      <c r="A59" s="16" t="s">
        <v>41</v>
      </c>
      <c r="B59" s="17">
        <v>0.98347297297297298</v>
      </c>
      <c r="C59" s="17">
        <v>0.95</v>
      </c>
      <c r="D59" s="17">
        <v>0.9</v>
      </c>
      <c r="E59" s="17">
        <v>0.85</v>
      </c>
    </row>
    <row r="60" spans="1:5" s="15" customFormat="1" x14ac:dyDescent="0.25">
      <c r="A60" s="16"/>
      <c r="B60" s="17"/>
      <c r="C60" s="17"/>
      <c r="D60" s="17"/>
      <c r="E60" s="17"/>
    </row>
    <row r="61" spans="1:5" s="15" customFormat="1" x14ac:dyDescent="0.25">
      <c r="A61" s="16"/>
      <c r="B61" s="17"/>
      <c r="C61" s="17"/>
      <c r="D61" s="17"/>
      <c r="E61" s="17"/>
    </row>
    <row r="62" spans="1:5" s="15" customFormat="1" x14ac:dyDescent="0.25">
      <c r="A62" s="16"/>
      <c r="B62" s="17"/>
      <c r="C62" s="17"/>
      <c r="D62" s="17"/>
      <c r="E62" s="17"/>
    </row>
    <row r="63" spans="1:5" s="15" customFormat="1" x14ac:dyDescent="0.25">
      <c r="A63" s="16"/>
      <c r="B63" s="17"/>
      <c r="C63" s="17"/>
      <c r="D63" s="17"/>
      <c r="E63" s="17"/>
    </row>
    <row r="64" spans="1:5" s="15" customFormat="1" x14ac:dyDescent="0.25">
      <c r="A64" s="16"/>
      <c r="B64" s="17"/>
      <c r="C64" s="17"/>
      <c r="D64" s="17"/>
      <c r="E64" s="17"/>
    </row>
    <row r="65" spans="1:5" s="15" customFormat="1" x14ac:dyDescent="0.25">
      <c r="A65" s="16"/>
      <c r="B65" s="17"/>
      <c r="C65" s="17"/>
      <c r="D65" s="17"/>
      <c r="E65" s="17"/>
    </row>
    <row r="66" spans="1:5" s="15" customFormat="1" x14ac:dyDescent="0.25">
      <c r="A66"/>
      <c r="B66"/>
      <c r="C66"/>
      <c r="D66"/>
      <c r="E66"/>
    </row>
    <row r="67" spans="1:5" s="15" customFormat="1" x14ac:dyDescent="0.25">
      <c r="A67"/>
      <c r="B67"/>
      <c r="C67"/>
      <c r="D67"/>
      <c r="E67"/>
    </row>
    <row r="68" spans="1:5" s="15" customFormat="1" x14ac:dyDescent="0.25">
      <c r="A68"/>
      <c r="B68"/>
      <c r="C68"/>
      <c r="D68"/>
      <c r="E68"/>
    </row>
    <row r="69" spans="1:5" s="15" customFormat="1" x14ac:dyDescent="0.25"/>
    <row r="70" spans="1:5" s="15" customFormat="1" x14ac:dyDescent="0.25"/>
    <row r="71" spans="1:5" s="15" customFormat="1" x14ac:dyDescent="0.25"/>
    <row r="72" spans="1:5" s="15" customFormat="1" x14ac:dyDescent="0.25"/>
    <row r="73" spans="1:5" s="15" customFormat="1" x14ac:dyDescent="0.25"/>
    <row r="74" spans="1:5" s="15" customFormat="1" x14ac:dyDescent="0.25"/>
    <row r="75" spans="1:5" s="15" customFormat="1" x14ac:dyDescent="0.25">
      <c r="A75" s="15" t="s">
        <v>0</v>
      </c>
      <c r="B75" s="15" t="s" vm="3">
        <v>48</v>
      </c>
    </row>
    <row r="76" spans="1:5" s="15" customFormat="1" x14ac:dyDescent="0.25">
      <c r="A76" s="15" t="s">
        <v>1</v>
      </c>
      <c r="B76" s="15" t="s" vm="4">
        <v>48</v>
      </c>
    </row>
    <row r="77" spans="1:5" s="15" customFormat="1" x14ac:dyDescent="0.25"/>
    <row r="78" spans="1:5" s="15" customFormat="1" x14ac:dyDescent="0.25">
      <c r="A78" s="15" t="s">
        <v>40</v>
      </c>
      <c r="B78" s="15" t="s">
        <v>55</v>
      </c>
    </row>
    <row r="79" spans="1:5" s="15" customFormat="1" x14ac:dyDescent="0.25">
      <c r="A79" s="16" t="s">
        <v>31</v>
      </c>
      <c r="B79" s="20">
        <v>0.22232558524773585</v>
      </c>
    </row>
    <row r="80" spans="1:5" s="15" customFormat="1" x14ac:dyDescent="0.25">
      <c r="A80" s="16" t="s">
        <v>20</v>
      </c>
      <c r="B80" s="20">
        <v>6.6176666703524845E-2</v>
      </c>
    </row>
    <row r="81" spans="1:2" s="15" customFormat="1" x14ac:dyDescent="0.25">
      <c r="A81" s="16" t="s">
        <v>8</v>
      </c>
      <c r="B81" s="20">
        <v>4.490259031946461E-3</v>
      </c>
    </row>
    <row r="82" spans="1:2" s="15" customFormat="1" x14ac:dyDescent="0.25">
      <c r="A82" s="16" t="s">
        <v>7</v>
      </c>
      <c r="B82" s="20">
        <v>3.7565048734589466E-3</v>
      </c>
    </row>
    <row r="83" spans="1:2" s="15" customFormat="1" x14ac:dyDescent="0.25">
      <c r="A83" s="16" t="s">
        <v>6</v>
      </c>
      <c r="B83" s="20">
        <v>3.0944241855326107E-3</v>
      </c>
    </row>
    <row r="84" spans="1:2" s="15" customFormat="1" x14ac:dyDescent="0.25">
      <c r="A84" s="16" t="s">
        <v>11</v>
      </c>
      <c r="B84" s="20">
        <v>0.4878264203816513</v>
      </c>
    </row>
    <row r="85" spans="1:2" s="15" customFormat="1" x14ac:dyDescent="0.25">
      <c r="A85" s="16" t="s">
        <v>18</v>
      </c>
      <c r="B85" s="20">
        <v>0.11083870743199233</v>
      </c>
    </row>
    <row r="86" spans="1:2" s="15" customFormat="1" x14ac:dyDescent="0.25">
      <c r="A86" s="16" t="s">
        <v>27</v>
      </c>
      <c r="B86" s="20">
        <v>0.10149143214415758</v>
      </c>
    </row>
    <row r="87" spans="1:2" s="15" customFormat="1" x14ac:dyDescent="0.25">
      <c r="A87" s="16" t="s">
        <v>41</v>
      </c>
      <c r="B87" s="20">
        <v>1</v>
      </c>
    </row>
    <row r="88" spans="1:2" s="15" customFormat="1" x14ac:dyDescent="0.25"/>
    <row r="89" spans="1:2" s="15" customFormat="1" x14ac:dyDescent="0.25"/>
    <row r="90" spans="1:2" s="15" customFormat="1" x14ac:dyDescent="0.25"/>
    <row r="91" spans="1:2" s="15" customFormat="1" x14ac:dyDescent="0.25"/>
    <row r="92" spans="1:2" s="15" customFormat="1" x14ac:dyDescent="0.25"/>
    <row r="93" spans="1:2" s="15" customFormat="1" x14ac:dyDescent="0.25"/>
    <row r="94" spans="1:2" s="15" customFormat="1" x14ac:dyDescent="0.25"/>
    <row r="95" spans="1:2" s="15" customFormat="1" x14ac:dyDescent="0.25"/>
    <row r="96" spans="1:2" s="15" customFormat="1" x14ac:dyDescent="0.25"/>
    <row r="97" s="15" customFormat="1" x14ac:dyDescent="0.25"/>
    <row r="98" s="15" customFormat="1" x14ac:dyDescent="0.25"/>
    <row r="99" s="15" customFormat="1" x14ac:dyDescent="0.25"/>
    <row r="100" s="15" customFormat="1" x14ac:dyDescent="0.25"/>
    <row r="101" s="15" customFormat="1" x14ac:dyDescent="0.25"/>
    <row r="102" s="15" customFormat="1" x14ac:dyDescent="0.25"/>
  </sheetData>
  <mergeCells count="1">
    <mergeCell ref="J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11E64-B159-4CDD-91F5-28AE0339B42F}">
  <sheetPr codeName="Sheet7"/>
  <dimension ref="A1:Q74"/>
  <sheetViews>
    <sheetView topLeftCell="A49" workbookViewId="0">
      <selection activeCell="C41" sqref="C41"/>
    </sheetView>
  </sheetViews>
  <sheetFormatPr defaultRowHeight="15" x14ac:dyDescent="0.25"/>
  <cols>
    <col min="1" max="1" width="18.28515625" bestFit="1" customWidth="1"/>
    <col min="2" max="2" width="16.28515625" bestFit="1" customWidth="1"/>
    <col min="3" max="5" width="16.85546875" bestFit="1" customWidth="1"/>
    <col min="6" max="6" width="15.28515625" bestFit="1" customWidth="1"/>
    <col min="7" max="7" width="16.85546875" bestFit="1" customWidth="1"/>
    <col min="8" max="8" width="7" bestFit="1" customWidth="1"/>
    <col min="9" max="9" width="11" bestFit="1" customWidth="1"/>
    <col min="10" max="10" width="12" bestFit="1" customWidth="1"/>
    <col min="11" max="12" width="12" customWidth="1"/>
    <col min="13" max="13" width="5.85546875" bestFit="1" customWidth="1"/>
    <col min="14" max="14" width="21.7109375" customWidth="1"/>
    <col min="15" max="15" width="16.140625" bestFit="1" customWidth="1"/>
    <col min="16" max="16" width="18" bestFit="1" customWidth="1"/>
    <col min="17" max="17" width="6.140625" bestFit="1" customWidth="1"/>
    <col min="18" max="18" width="6.42578125" bestFit="1" customWidth="1"/>
    <col min="19" max="19" width="16.140625" bestFit="1" customWidth="1"/>
    <col min="20" max="20" width="18" bestFit="1" customWidth="1"/>
    <col min="21" max="21" width="5.85546875" bestFit="1" customWidth="1"/>
    <col min="22" max="22" width="6.42578125" bestFit="1" customWidth="1"/>
    <col min="23" max="23" width="16.140625" bestFit="1" customWidth="1"/>
    <col min="24" max="24" width="18" bestFit="1" customWidth="1"/>
    <col min="25" max="25" width="5.85546875" bestFit="1" customWidth="1"/>
    <col min="26" max="26" width="6.42578125" bestFit="1" customWidth="1"/>
    <col min="27" max="27" width="16.140625" bestFit="1" customWidth="1"/>
    <col min="28" max="28" width="18" bestFit="1" customWidth="1"/>
    <col min="29" max="29" width="5.85546875" bestFit="1" customWidth="1"/>
    <col min="30" max="30" width="6.42578125" bestFit="1" customWidth="1"/>
    <col min="31" max="31" width="16.140625" bestFit="1" customWidth="1"/>
    <col min="32" max="32" width="18" bestFit="1" customWidth="1"/>
    <col min="33" max="33" width="5.85546875" bestFit="1" customWidth="1"/>
    <col min="34" max="34" width="6.42578125" bestFit="1" customWidth="1"/>
    <col min="35" max="35" width="16.140625" bestFit="1" customWidth="1"/>
    <col min="36" max="36" width="23" bestFit="1" customWidth="1"/>
    <col min="37" max="37" width="10.7109375" bestFit="1" customWidth="1"/>
    <col min="38" max="38" width="11.28515625" bestFit="1" customWidth="1"/>
    <col min="39" max="39" width="21.140625" bestFit="1" customWidth="1"/>
  </cols>
  <sheetData>
    <row r="1" spans="1:17" s="3" customFormat="1" x14ac:dyDescent="0.25"/>
    <row r="2" spans="1:17" s="3" customFormat="1" x14ac:dyDescent="0.25">
      <c r="N2" s="56" t="s">
        <v>49</v>
      </c>
      <c r="O2" s="56"/>
      <c r="P2" s="56"/>
      <c r="Q2" s="56"/>
    </row>
    <row r="3" spans="1:17" s="3" customFormat="1" x14ac:dyDescent="0.25">
      <c r="N3" s="9" t="s">
        <v>50</v>
      </c>
      <c r="O3" s="9" t="s">
        <v>51</v>
      </c>
      <c r="P3" s="9" t="s">
        <v>53</v>
      </c>
      <c r="Q3" s="10" t="s">
        <v>54</v>
      </c>
    </row>
    <row r="4" spans="1:17" s="3" customFormat="1" x14ac:dyDescent="0.25">
      <c r="N4" s="25">
        <f>GETPIVOTDATA("[Measures].[Sum of Chi Phí - LTL]",$A$24)</f>
        <v>4831254110.8578148</v>
      </c>
      <c r="O4" s="10">
        <f>COUNTA(A51:A62)-2</f>
        <v>6</v>
      </c>
      <c r="P4" s="13">
        <f>GETPIVOTDATA("[Measures].[Sum of Chi Phí - LTL]",$A$24)/GETPIVOTDATA("[Measures].[Sum of Chi Phí - LTL]",$A$6)</f>
        <v>1</v>
      </c>
      <c r="Q4" s="26">
        <f>GETPIVOTDATA("[Measures].[Average of KPI- LTL]",$A$53)</f>
        <v>0.9435314061631016</v>
      </c>
    </row>
    <row r="5" spans="1:17" s="3" customFormat="1" x14ac:dyDescent="0.25"/>
    <row r="6" spans="1:17" s="3" customFormat="1" x14ac:dyDescent="0.25">
      <c r="A6" s="3" t="s">
        <v>58</v>
      </c>
      <c r="B6" s="3" t="s">
        <v>43</v>
      </c>
    </row>
    <row r="7" spans="1:17" s="3" customFormat="1" x14ac:dyDescent="0.25">
      <c r="A7" s="3" t="s">
        <v>40</v>
      </c>
      <c r="B7" s="3" t="s">
        <v>19</v>
      </c>
      <c r="C7" s="3" t="s">
        <v>5</v>
      </c>
      <c r="D7" s="3" t="s">
        <v>28</v>
      </c>
      <c r="E7" s="3" t="s">
        <v>22</v>
      </c>
      <c r="F7" s="3" t="s">
        <v>12</v>
      </c>
      <c r="G7" s="3" t="s">
        <v>16</v>
      </c>
      <c r="H7" s="3" t="s">
        <v>15</v>
      </c>
      <c r="I7" s="3" t="s">
        <v>32</v>
      </c>
      <c r="J7" s="3" t="s">
        <v>41</v>
      </c>
    </row>
    <row r="8" spans="1:17" s="3" customFormat="1" x14ac:dyDescent="0.25">
      <c r="A8" s="14">
        <v>4</v>
      </c>
      <c r="B8" s="58">
        <v>3225000</v>
      </c>
      <c r="C8" s="58">
        <v>160250010</v>
      </c>
      <c r="D8" s="58">
        <v>10844925</v>
      </c>
      <c r="E8" s="58">
        <v>7590250</v>
      </c>
      <c r="F8" s="58"/>
      <c r="G8" s="58">
        <v>5652995.7424999997</v>
      </c>
      <c r="H8" s="58">
        <v>125000</v>
      </c>
      <c r="I8" s="58">
        <v>634714972</v>
      </c>
      <c r="J8" s="58">
        <v>822403152.74250007</v>
      </c>
    </row>
    <row r="9" spans="1:17" s="3" customFormat="1" x14ac:dyDescent="0.25">
      <c r="A9" s="14">
        <v>5</v>
      </c>
      <c r="B9" s="58">
        <v>26617485</v>
      </c>
      <c r="C9" s="58">
        <v>153695583</v>
      </c>
      <c r="D9" s="58">
        <v>18032675.510280728</v>
      </c>
      <c r="E9" s="58"/>
      <c r="F9" s="58">
        <v>2452000</v>
      </c>
      <c r="G9" s="58">
        <v>4879320.3125</v>
      </c>
      <c r="H9" s="58"/>
      <c r="I9" s="58">
        <v>878704408</v>
      </c>
      <c r="J9" s="58">
        <v>1084381471.8227806</v>
      </c>
    </row>
    <row r="10" spans="1:17" s="3" customFormat="1" x14ac:dyDescent="0.25">
      <c r="A10" s="14">
        <v>6</v>
      </c>
      <c r="B10" s="58">
        <v>12824102.5</v>
      </c>
      <c r="C10" s="58">
        <v>115969368</v>
      </c>
      <c r="D10" s="58">
        <v>16749259.125866666</v>
      </c>
      <c r="E10" s="58">
        <v>58334100</v>
      </c>
      <c r="F10" s="58">
        <v>577800</v>
      </c>
      <c r="G10" s="58">
        <v>5441734</v>
      </c>
      <c r="H10" s="58"/>
      <c r="I10" s="58">
        <v>811718662</v>
      </c>
      <c r="J10" s="58">
        <v>1021615025.6258667</v>
      </c>
    </row>
    <row r="11" spans="1:17" s="3" customFormat="1" x14ac:dyDescent="0.25">
      <c r="A11" s="14">
        <v>7</v>
      </c>
      <c r="B11" s="58">
        <v>22168279</v>
      </c>
      <c r="C11" s="58">
        <v>85111742</v>
      </c>
      <c r="D11" s="58">
        <v>19140293.666666668</v>
      </c>
      <c r="E11" s="58">
        <v>5468198</v>
      </c>
      <c r="F11" s="58"/>
      <c r="G11" s="58">
        <v>15548665</v>
      </c>
      <c r="H11" s="58"/>
      <c r="I11" s="58">
        <v>929579518</v>
      </c>
      <c r="J11" s="58">
        <v>1077016695.6666665</v>
      </c>
    </row>
    <row r="12" spans="1:17" s="3" customFormat="1" x14ac:dyDescent="0.25">
      <c r="A12" s="14">
        <v>8</v>
      </c>
      <c r="B12" s="58">
        <v>21612541</v>
      </c>
      <c r="C12" s="58">
        <v>86707552.99999997</v>
      </c>
      <c r="D12" s="58">
        <v>34801635</v>
      </c>
      <c r="E12" s="58">
        <v>5164500</v>
      </c>
      <c r="F12" s="58">
        <v>1181105</v>
      </c>
      <c r="G12" s="58">
        <v>11639067</v>
      </c>
      <c r="H12" s="58">
        <v>425850</v>
      </c>
      <c r="I12" s="58">
        <v>664305514</v>
      </c>
      <c r="J12" s="58">
        <v>825837765</v>
      </c>
    </row>
    <row r="13" spans="1:17" s="3" customFormat="1" x14ac:dyDescent="0.25">
      <c r="A13" s="14" t="s">
        <v>41</v>
      </c>
      <c r="B13" s="58">
        <v>86447407.5</v>
      </c>
      <c r="C13" s="58">
        <v>601734256</v>
      </c>
      <c r="D13" s="58">
        <v>99568788.302814066</v>
      </c>
      <c r="E13" s="58">
        <v>76557048</v>
      </c>
      <c r="F13" s="58">
        <v>4210905</v>
      </c>
      <c r="G13" s="58">
        <v>43161782.055</v>
      </c>
      <c r="H13" s="58">
        <v>550850</v>
      </c>
      <c r="I13" s="58">
        <v>3919023074</v>
      </c>
      <c r="J13" s="58">
        <v>4831254110.8578148</v>
      </c>
    </row>
    <row r="14" spans="1:17" s="3" customFormat="1" x14ac:dyDescent="0.25">
      <c r="A14" s="14"/>
    </row>
    <row r="15" spans="1:17" s="3" customFormat="1" x14ac:dyDescent="0.25">
      <c r="A15" s="14"/>
    </row>
    <row r="16" spans="1:17" s="3" customFormat="1" x14ac:dyDescent="0.25">
      <c r="A16" s="14"/>
    </row>
    <row r="17" spans="1:7" s="3" customFormat="1" x14ac:dyDescent="0.25">
      <c r="A17" s="14"/>
    </row>
    <row r="18" spans="1:7" s="3" customFormat="1" x14ac:dyDescent="0.25">
      <c r="A18" s="14"/>
    </row>
    <row r="19" spans="1:7" s="3" customFormat="1" x14ac:dyDescent="0.25">
      <c r="A19" s="14"/>
    </row>
    <row r="20" spans="1:7" s="3" customFormat="1" x14ac:dyDescent="0.25">
      <c r="A20" s="14"/>
    </row>
    <row r="21" spans="1:7" s="3" customFormat="1" x14ac:dyDescent="0.25">
      <c r="A21" s="14"/>
    </row>
    <row r="22" spans="1:7" s="3" customFormat="1" x14ac:dyDescent="0.25"/>
    <row r="23" spans="1:7" s="3" customFormat="1" x14ac:dyDescent="0.25"/>
    <row r="24" spans="1:7" s="3" customFormat="1" x14ac:dyDescent="0.25">
      <c r="A24" s="3" t="s">
        <v>58</v>
      </c>
      <c r="B24" s="3" t="s">
        <v>43</v>
      </c>
    </row>
    <row r="25" spans="1:7" s="3" customFormat="1" x14ac:dyDescent="0.25">
      <c r="A25" s="3" t="s">
        <v>40</v>
      </c>
      <c r="B25" s="3">
        <v>4</v>
      </c>
      <c r="C25" s="3">
        <v>5</v>
      </c>
      <c r="D25" s="3">
        <v>6</v>
      </c>
      <c r="E25" s="3">
        <v>7</v>
      </c>
      <c r="F25" s="3">
        <v>8</v>
      </c>
      <c r="G25" s="3" t="s">
        <v>41</v>
      </c>
    </row>
    <row r="26" spans="1:7" s="3" customFormat="1" x14ac:dyDescent="0.25">
      <c r="A26" s="23" t="s">
        <v>19</v>
      </c>
      <c r="B26" s="24">
        <v>3225000</v>
      </c>
      <c r="C26" s="24">
        <v>26617485</v>
      </c>
      <c r="D26" s="24">
        <v>12824102.5</v>
      </c>
      <c r="E26" s="24">
        <v>22168279</v>
      </c>
      <c r="F26" s="24">
        <v>21612541</v>
      </c>
      <c r="G26" s="24">
        <v>86447407.5</v>
      </c>
    </row>
    <row r="27" spans="1:7" s="3" customFormat="1" x14ac:dyDescent="0.25">
      <c r="A27" s="23" t="s">
        <v>5</v>
      </c>
      <c r="B27" s="24">
        <v>160250010</v>
      </c>
      <c r="C27" s="24">
        <v>153695583</v>
      </c>
      <c r="D27" s="24">
        <v>115969368</v>
      </c>
      <c r="E27" s="24">
        <v>85111742</v>
      </c>
      <c r="F27" s="24">
        <v>86707552.99999997</v>
      </c>
      <c r="G27" s="24">
        <v>601734256</v>
      </c>
    </row>
    <row r="28" spans="1:7" s="3" customFormat="1" x14ac:dyDescent="0.25">
      <c r="A28" s="23" t="s">
        <v>28</v>
      </c>
      <c r="B28" s="24">
        <v>10844925</v>
      </c>
      <c r="C28" s="24">
        <v>18032675.510280728</v>
      </c>
      <c r="D28" s="24">
        <v>16749259.125866666</v>
      </c>
      <c r="E28" s="24">
        <v>19140293.666666668</v>
      </c>
      <c r="F28" s="24">
        <v>34801635</v>
      </c>
      <c r="G28" s="24">
        <v>99568788.302814066</v>
      </c>
    </row>
    <row r="29" spans="1:7" s="3" customFormat="1" x14ac:dyDescent="0.25">
      <c r="A29" s="23" t="s">
        <v>22</v>
      </c>
      <c r="B29" s="24">
        <v>7590250</v>
      </c>
      <c r="C29" s="24"/>
      <c r="D29" s="24">
        <v>58334100</v>
      </c>
      <c r="E29" s="24">
        <v>5468198</v>
      </c>
      <c r="F29" s="24">
        <v>5164500</v>
      </c>
      <c r="G29" s="24">
        <v>76557048</v>
      </c>
    </row>
    <row r="30" spans="1:7" s="3" customFormat="1" x14ac:dyDescent="0.25">
      <c r="A30" s="23" t="s">
        <v>12</v>
      </c>
      <c r="B30" s="24"/>
      <c r="C30" s="24">
        <v>2452000</v>
      </c>
      <c r="D30" s="24">
        <v>577800</v>
      </c>
      <c r="E30" s="24"/>
      <c r="F30" s="24">
        <v>1181105</v>
      </c>
      <c r="G30" s="24">
        <v>4210905</v>
      </c>
    </row>
    <row r="31" spans="1:7" s="3" customFormat="1" x14ac:dyDescent="0.25">
      <c r="A31" s="23" t="s">
        <v>16</v>
      </c>
      <c r="B31" s="24">
        <v>5652995.7424999997</v>
      </c>
      <c r="C31" s="24">
        <v>4879320.3125</v>
      </c>
      <c r="D31" s="24">
        <v>5441734</v>
      </c>
      <c r="E31" s="24">
        <v>15548665</v>
      </c>
      <c r="F31" s="24">
        <v>11639067</v>
      </c>
      <c r="G31" s="24">
        <v>43161782.055</v>
      </c>
    </row>
    <row r="32" spans="1:7" s="3" customFormat="1" x14ac:dyDescent="0.25">
      <c r="A32" s="23" t="s">
        <v>15</v>
      </c>
      <c r="B32" s="24">
        <v>125000</v>
      </c>
      <c r="C32" s="24"/>
      <c r="D32" s="24"/>
      <c r="E32" s="24"/>
      <c r="F32" s="24">
        <v>425850</v>
      </c>
      <c r="G32" s="24">
        <v>550850</v>
      </c>
    </row>
    <row r="33" spans="1:7" s="3" customFormat="1" x14ac:dyDescent="0.25">
      <c r="A33" s="23" t="s">
        <v>32</v>
      </c>
      <c r="B33" s="24">
        <v>634714972</v>
      </c>
      <c r="C33" s="24">
        <v>878704408</v>
      </c>
      <c r="D33" s="24">
        <v>811718662</v>
      </c>
      <c r="E33" s="24">
        <v>929579518</v>
      </c>
      <c r="F33" s="24">
        <v>664305514</v>
      </c>
      <c r="G33" s="24">
        <v>3919023074</v>
      </c>
    </row>
    <row r="34" spans="1:7" s="3" customFormat="1" x14ac:dyDescent="0.25">
      <c r="A34" s="14" t="s">
        <v>41</v>
      </c>
      <c r="B34" s="18">
        <v>822403152.74250007</v>
      </c>
      <c r="C34" s="18">
        <v>1084381471.8227806</v>
      </c>
      <c r="D34" s="18">
        <v>1021615025.6258667</v>
      </c>
      <c r="E34" s="18">
        <v>1077016695.6666665</v>
      </c>
      <c r="F34" s="18">
        <v>825837765</v>
      </c>
      <c r="G34" s="18">
        <v>4831254110.8578148</v>
      </c>
    </row>
    <row r="35" spans="1:7" s="3" customFormat="1" x14ac:dyDescent="0.25">
      <c r="A35" s="14"/>
      <c r="B35" s="18"/>
      <c r="C35" s="18"/>
      <c r="D35" s="18"/>
      <c r="E35" s="18"/>
    </row>
    <row r="36" spans="1:7" s="3" customFormat="1" x14ac:dyDescent="0.25">
      <c r="A36" s="14"/>
      <c r="B36" s="18"/>
      <c r="C36" s="18"/>
      <c r="D36" s="18"/>
      <c r="E36" s="18"/>
    </row>
    <row r="37" spans="1:7" s="3" customFormat="1" x14ac:dyDescent="0.25">
      <c r="A37" s="14"/>
      <c r="B37" s="18"/>
      <c r="C37" s="18"/>
      <c r="D37" s="18"/>
      <c r="E37" s="18"/>
    </row>
    <row r="38" spans="1:7" s="3" customFormat="1" x14ac:dyDescent="0.25">
      <c r="A38" s="14"/>
      <c r="B38" s="18"/>
      <c r="C38" s="18"/>
      <c r="D38" s="18"/>
      <c r="E38" s="18"/>
    </row>
    <row r="39" spans="1:7" s="3" customFormat="1" x14ac:dyDescent="0.25">
      <c r="A39" s="14"/>
      <c r="B39" s="18"/>
      <c r="C39" s="18"/>
      <c r="D39" s="18"/>
      <c r="E39" s="18"/>
    </row>
    <row r="40" spans="1:7" s="3" customFormat="1" x14ac:dyDescent="0.25">
      <c r="A40" s="14"/>
      <c r="B40" s="18"/>
      <c r="C40" s="18"/>
      <c r="D40" s="18"/>
      <c r="E40" s="18"/>
    </row>
    <row r="41" spans="1:7" s="3" customFormat="1" x14ac:dyDescent="0.25">
      <c r="A41" s="14"/>
      <c r="B41" s="18"/>
      <c r="C41" s="18"/>
      <c r="D41" s="18"/>
      <c r="E41" s="18"/>
    </row>
    <row r="42" spans="1:7" s="3" customFormat="1" x14ac:dyDescent="0.25">
      <c r="A42" s="14"/>
      <c r="B42" s="18"/>
      <c r="C42" s="18"/>
      <c r="D42" s="18"/>
      <c r="E42" s="18"/>
    </row>
    <row r="43" spans="1:7" s="3" customFormat="1" x14ac:dyDescent="0.25">
      <c r="A43" s="14"/>
      <c r="B43" s="18"/>
      <c r="C43" s="18"/>
      <c r="D43" s="18"/>
      <c r="E43" s="18"/>
    </row>
    <row r="44" spans="1:7" s="3" customFormat="1" x14ac:dyDescent="0.25">
      <c r="A44" s="14"/>
      <c r="B44" s="18"/>
      <c r="C44" s="18"/>
      <c r="D44" s="18"/>
      <c r="E44" s="18"/>
    </row>
    <row r="45" spans="1:7" s="3" customFormat="1" x14ac:dyDescent="0.25"/>
    <row r="46" spans="1:7" s="3" customFormat="1" x14ac:dyDescent="0.25"/>
    <row r="47" spans="1:7" s="15" customFormat="1" x14ac:dyDescent="0.25"/>
    <row r="48" spans="1:7" s="15" customFormat="1" x14ac:dyDescent="0.25"/>
    <row r="49" spans="1:5" s="15" customFormat="1" x14ac:dyDescent="0.25"/>
    <row r="50" spans="1:5" s="15" customFormat="1" x14ac:dyDescent="0.25"/>
    <row r="51" spans="1:5" s="15" customFormat="1" x14ac:dyDescent="0.25"/>
    <row r="52" spans="1:5" s="15" customFormat="1" x14ac:dyDescent="0.25"/>
    <row r="53" spans="1:5" s="15" customFormat="1" x14ac:dyDescent="0.25">
      <c r="A53" s="15" t="s">
        <v>40</v>
      </c>
      <c r="B53" s="15" t="s">
        <v>59</v>
      </c>
      <c r="C53" s="15" t="s">
        <v>57</v>
      </c>
      <c r="D53" s="15" t="s">
        <v>46</v>
      </c>
      <c r="E53" s="15" t="s">
        <v>47</v>
      </c>
    </row>
    <row r="54" spans="1:5" s="15" customFormat="1" x14ac:dyDescent="0.25">
      <c r="A54" s="16" t="s">
        <v>33</v>
      </c>
      <c r="B54" s="20">
        <v>0.97269524405908803</v>
      </c>
      <c r="C54" s="20">
        <v>0.95</v>
      </c>
      <c r="D54" s="20">
        <v>0.9</v>
      </c>
      <c r="E54" s="20">
        <v>0.85</v>
      </c>
    </row>
    <row r="55" spans="1:5" s="15" customFormat="1" x14ac:dyDescent="0.25">
      <c r="A55" s="16" t="s">
        <v>10</v>
      </c>
      <c r="B55" s="20">
        <v>0.91221000000000019</v>
      </c>
      <c r="C55" s="20">
        <v>0.95</v>
      </c>
      <c r="D55" s="20">
        <v>0.9</v>
      </c>
      <c r="E55" s="20">
        <v>0.85</v>
      </c>
    </row>
    <row r="56" spans="1:5" s="15" customFormat="1" x14ac:dyDescent="0.25">
      <c r="A56" s="16" t="s">
        <v>7</v>
      </c>
      <c r="B56" s="20">
        <v>0.97599999999999998</v>
      </c>
      <c r="C56" s="20">
        <v>0.95</v>
      </c>
      <c r="D56" s="20">
        <v>0.9</v>
      </c>
      <c r="E56" s="20">
        <v>0.85</v>
      </c>
    </row>
    <row r="57" spans="1:5" s="15" customFormat="1" x14ac:dyDescent="0.25">
      <c r="A57" s="16" t="s">
        <v>9</v>
      </c>
      <c r="B57" s="20">
        <v>0.94374761904761917</v>
      </c>
      <c r="C57" s="20">
        <v>0.95</v>
      </c>
      <c r="D57" s="20">
        <v>0.9</v>
      </c>
      <c r="E57" s="20">
        <v>0.85</v>
      </c>
    </row>
    <row r="58" spans="1:5" s="15" customFormat="1" ht="51" customHeight="1" x14ac:dyDescent="0.25">
      <c r="A58" s="16" t="s">
        <v>6</v>
      </c>
      <c r="B58" s="20">
        <v>0.95599999999999996</v>
      </c>
      <c r="C58" s="20">
        <v>0.95</v>
      </c>
      <c r="D58" s="20">
        <v>0.9</v>
      </c>
      <c r="E58" s="20">
        <v>0.85</v>
      </c>
    </row>
    <row r="59" spans="1:5" s="15" customFormat="1" x14ac:dyDescent="0.25">
      <c r="A59" s="16" t="s">
        <v>23</v>
      </c>
      <c r="B59" s="20">
        <v>0.99742281560477952</v>
      </c>
      <c r="C59" s="20">
        <v>0.95</v>
      </c>
      <c r="D59" s="20">
        <v>0.9</v>
      </c>
      <c r="E59" s="20">
        <v>0.85</v>
      </c>
    </row>
    <row r="60" spans="1:5" s="15" customFormat="1" x14ac:dyDescent="0.25">
      <c r="A60" s="16" t="s">
        <v>41</v>
      </c>
      <c r="B60" s="59">
        <v>0.9435314061631016</v>
      </c>
      <c r="C60" s="59">
        <v>0.95</v>
      </c>
      <c r="D60" s="59">
        <v>0.9</v>
      </c>
      <c r="E60" s="59">
        <v>0.85</v>
      </c>
    </row>
    <row r="61" spans="1:5" s="15" customFormat="1" x14ac:dyDescent="0.25"/>
    <row r="62" spans="1:5" s="15" customFormat="1" x14ac:dyDescent="0.25"/>
    <row r="63" spans="1:5" s="15" customFormat="1" x14ac:dyDescent="0.25"/>
    <row r="64" spans="1:5" s="15" customFormat="1" x14ac:dyDescent="0.25"/>
    <row r="65" spans="1:2" s="15" customFormat="1" x14ac:dyDescent="0.25"/>
    <row r="66" spans="1:2" s="15" customFormat="1" x14ac:dyDescent="0.25"/>
    <row r="67" spans="1:2" s="15" customFormat="1" x14ac:dyDescent="0.25">
      <c r="A67" s="15" t="s">
        <v>40</v>
      </c>
      <c r="B67" s="15" t="s">
        <v>58</v>
      </c>
    </row>
    <row r="68" spans="1:2" s="15" customFormat="1" x14ac:dyDescent="0.25">
      <c r="A68" s="16" t="s">
        <v>33</v>
      </c>
      <c r="B68" s="20">
        <v>0.14181824517575339</v>
      </c>
    </row>
    <row r="69" spans="1:2" s="15" customFormat="1" x14ac:dyDescent="0.25">
      <c r="A69" s="16" t="s">
        <v>10</v>
      </c>
      <c r="B69" s="20">
        <v>5.618939550589705E-2</v>
      </c>
    </row>
    <row r="70" spans="1:2" s="15" customFormat="1" x14ac:dyDescent="0.25">
      <c r="A70" s="16" t="s">
        <v>7</v>
      </c>
      <c r="B70" s="20">
        <v>3.5400634302308063E-3</v>
      </c>
    </row>
    <row r="71" spans="1:2" s="15" customFormat="1" x14ac:dyDescent="0.25">
      <c r="A71" s="16" t="s">
        <v>9</v>
      </c>
      <c r="B71" s="20">
        <v>0.12650452818446675</v>
      </c>
    </row>
    <row r="72" spans="1:2" s="15" customFormat="1" x14ac:dyDescent="0.25">
      <c r="A72" s="16" t="s">
        <v>6</v>
      </c>
      <c r="B72" s="20">
        <v>4.4698745924928546E-5</v>
      </c>
    </row>
    <row r="73" spans="1:2" s="15" customFormat="1" x14ac:dyDescent="0.25">
      <c r="A73" s="16" t="s">
        <v>23</v>
      </c>
      <c r="B73" s="20">
        <v>0.67190306895772689</v>
      </c>
    </row>
    <row r="74" spans="1:2" s="15" customFormat="1" x14ac:dyDescent="0.25">
      <c r="A74" s="16" t="s">
        <v>41</v>
      </c>
      <c r="B74" s="20">
        <v>1</v>
      </c>
    </row>
  </sheetData>
  <mergeCells count="1">
    <mergeCell ref="N2:Q2"/>
  </mergeCells>
  <pageMargins left="0.7" right="0.7" top="0.75" bottom="0.75"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2C4C-7291-4240-BD71-D4E43267F8AB}">
  <dimension ref="A1:G316"/>
  <sheetViews>
    <sheetView topLeftCell="A291" workbookViewId="0">
      <selection activeCell="I230" sqref="I230"/>
    </sheetView>
  </sheetViews>
  <sheetFormatPr defaultRowHeight="15" x14ac:dyDescent="0.25"/>
  <cols>
    <col min="1" max="2" width="9.28515625" bestFit="1" customWidth="1"/>
    <col min="3" max="3" width="9" bestFit="1" customWidth="1"/>
    <col min="4" max="4" width="10.85546875" bestFit="1" customWidth="1"/>
    <col min="5" max="5" width="6.42578125" bestFit="1" customWidth="1"/>
    <col min="6" max="6" width="9" bestFit="1" customWidth="1"/>
    <col min="7" max="7" width="14.28515625" bestFit="1" customWidth="1"/>
  </cols>
  <sheetData>
    <row r="1" spans="1:7" x14ac:dyDescent="0.25">
      <c r="A1" t="s">
        <v>61</v>
      </c>
      <c r="B1" t="s">
        <v>60</v>
      </c>
      <c r="C1" t="s">
        <v>62</v>
      </c>
      <c r="D1" t="s">
        <v>63</v>
      </c>
      <c r="E1" t="s">
        <v>64</v>
      </c>
      <c r="F1" t="s">
        <v>65</v>
      </c>
      <c r="G1" t="s">
        <v>66</v>
      </c>
    </row>
    <row r="2" spans="1:7" x14ac:dyDescent="0.25">
      <c r="A2" t="s">
        <v>28</v>
      </c>
      <c r="B2">
        <v>4</v>
      </c>
      <c r="C2" t="s">
        <v>67</v>
      </c>
      <c r="D2" t="s">
        <v>68</v>
      </c>
      <c r="E2">
        <v>53</v>
      </c>
      <c r="F2">
        <v>3563.311999999999</v>
      </c>
      <c r="G2" s="43">
        <v>980300000</v>
      </c>
    </row>
    <row r="3" spans="1:7" x14ac:dyDescent="0.25">
      <c r="A3" t="s">
        <v>28</v>
      </c>
      <c r="B3">
        <v>4</v>
      </c>
      <c r="C3" t="s">
        <v>67</v>
      </c>
      <c r="D3" t="s">
        <v>69</v>
      </c>
      <c r="E3">
        <v>5</v>
      </c>
      <c r="F3">
        <v>339.36200000000002</v>
      </c>
      <c r="G3" s="43">
        <v>92750000</v>
      </c>
    </row>
    <row r="4" spans="1:7" x14ac:dyDescent="0.25">
      <c r="A4" t="s">
        <v>28</v>
      </c>
      <c r="B4">
        <v>4</v>
      </c>
      <c r="C4" t="s">
        <v>67</v>
      </c>
      <c r="D4" t="s">
        <v>70</v>
      </c>
      <c r="E4">
        <v>29</v>
      </c>
      <c r="F4">
        <v>2107.009</v>
      </c>
      <c r="G4" s="43">
        <v>434000000</v>
      </c>
    </row>
    <row r="5" spans="1:7" x14ac:dyDescent="0.25">
      <c r="A5" t="s">
        <v>28</v>
      </c>
      <c r="B5">
        <v>4</v>
      </c>
      <c r="C5" t="s">
        <v>71</v>
      </c>
      <c r="D5" t="s">
        <v>68</v>
      </c>
      <c r="E5">
        <v>19</v>
      </c>
      <c r="F5">
        <v>1285.6489999999999</v>
      </c>
      <c r="G5" s="43">
        <v>648000000</v>
      </c>
    </row>
    <row r="6" spans="1:7" x14ac:dyDescent="0.25">
      <c r="A6" t="s">
        <v>28</v>
      </c>
      <c r="B6">
        <v>4</v>
      </c>
      <c r="C6" t="s">
        <v>71</v>
      </c>
      <c r="D6" t="s">
        <v>69</v>
      </c>
      <c r="E6">
        <v>0</v>
      </c>
      <c r="F6">
        <v>0</v>
      </c>
      <c r="G6" s="43">
        <v>0</v>
      </c>
    </row>
    <row r="7" spans="1:7" x14ac:dyDescent="0.25">
      <c r="A7" t="s">
        <v>28</v>
      </c>
      <c r="B7">
        <v>4</v>
      </c>
      <c r="C7" t="s">
        <v>71</v>
      </c>
      <c r="D7" t="s">
        <v>70</v>
      </c>
      <c r="E7">
        <v>0</v>
      </c>
      <c r="F7">
        <v>0</v>
      </c>
      <c r="G7" s="43">
        <v>0</v>
      </c>
    </row>
    <row r="8" spans="1:7" x14ac:dyDescent="0.25">
      <c r="A8" t="s">
        <v>28</v>
      </c>
      <c r="B8">
        <v>4</v>
      </c>
      <c r="C8" t="s">
        <v>72</v>
      </c>
      <c r="D8" t="s">
        <v>23</v>
      </c>
      <c r="E8">
        <v>6</v>
      </c>
      <c r="F8">
        <v>11.14</v>
      </c>
      <c r="G8" s="43">
        <v>16432396</v>
      </c>
    </row>
    <row r="9" spans="1:7" x14ac:dyDescent="0.25">
      <c r="A9" t="s">
        <v>28</v>
      </c>
      <c r="B9">
        <v>4</v>
      </c>
      <c r="C9" t="s">
        <v>73</v>
      </c>
      <c r="D9" t="s">
        <v>74</v>
      </c>
      <c r="E9">
        <v>0</v>
      </c>
      <c r="F9">
        <v>0</v>
      </c>
      <c r="G9" s="43">
        <v>0</v>
      </c>
    </row>
    <row r="10" spans="1:7" x14ac:dyDescent="0.25">
      <c r="A10" t="s">
        <v>28</v>
      </c>
      <c r="B10">
        <v>4</v>
      </c>
      <c r="C10" t="s">
        <v>73</v>
      </c>
      <c r="D10" t="s">
        <v>75</v>
      </c>
      <c r="E10">
        <v>0</v>
      </c>
      <c r="F10">
        <v>0</v>
      </c>
      <c r="G10" s="43">
        <v>0</v>
      </c>
    </row>
    <row r="11" spans="1:7" x14ac:dyDescent="0.25">
      <c r="A11" t="s">
        <v>5</v>
      </c>
      <c r="B11">
        <v>4</v>
      </c>
      <c r="C11" t="s">
        <v>67</v>
      </c>
      <c r="D11" t="s">
        <v>68</v>
      </c>
      <c r="E11">
        <v>14</v>
      </c>
      <c r="F11">
        <v>937.10199999999998</v>
      </c>
      <c r="G11" s="43">
        <v>230800000</v>
      </c>
    </row>
    <row r="12" spans="1:7" x14ac:dyDescent="0.25">
      <c r="A12" t="s">
        <v>5</v>
      </c>
      <c r="B12">
        <v>4</v>
      </c>
      <c r="C12" t="s">
        <v>67</v>
      </c>
      <c r="D12" t="s">
        <v>69</v>
      </c>
      <c r="E12">
        <v>0</v>
      </c>
      <c r="F12">
        <v>0</v>
      </c>
      <c r="G12" s="43">
        <v>0</v>
      </c>
    </row>
    <row r="13" spans="1:7" x14ac:dyDescent="0.25">
      <c r="A13" t="s">
        <v>5</v>
      </c>
      <c r="B13">
        <v>4</v>
      </c>
      <c r="C13" t="s">
        <v>67</v>
      </c>
      <c r="D13" t="s">
        <v>70</v>
      </c>
      <c r="E13">
        <v>1</v>
      </c>
      <c r="F13">
        <v>66.534000000000006</v>
      </c>
      <c r="G13" s="43">
        <v>16700000</v>
      </c>
    </row>
    <row r="14" spans="1:7" x14ac:dyDescent="0.25">
      <c r="A14" t="s">
        <v>5</v>
      </c>
      <c r="B14">
        <v>4</v>
      </c>
      <c r="C14" t="s">
        <v>71</v>
      </c>
      <c r="D14" t="s">
        <v>68</v>
      </c>
      <c r="E14">
        <v>28</v>
      </c>
      <c r="F14">
        <v>1615.5650000000003</v>
      </c>
      <c r="G14" s="43">
        <v>666000000</v>
      </c>
    </row>
    <row r="15" spans="1:7" x14ac:dyDescent="0.25">
      <c r="A15" t="s">
        <v>5</v>
      </c>
      <c r="B15">
        <v>4</v>
      </c>
      <c r="C15" t="s">
        <v>71</v>
      </c>
      <c r="D15" t="s">
        <v>69</v>
      </c>
      <c r="E15">
        <v>0</v>
      </c>
      <c r="F15">
        <v>0</v>
      </c>
      <c r="G15" s="43">
        <v>0</v>
      </c>
    </row>
    <row r="16" spans="1:7" x14ac:dyDescent="0.25">
      <c r="A16" t="s">
        <v>5</v>
      </c>
      <c r="B16">
        <v>4</v>
      </c>
      <c r="C16" t="s">
        <v>71</v>
      </c>
      <c r="D16" t="s">
        <v>70</v>
      </c>
      <c r="E16">
        <v>0</v>
      </c>
      <c r="F16">
        <v>0</v>
      </c>
      <c r="G16" s="43">
        <v>0</v>
      </c>
    </row>
    <row r="17" spans="1:7" x14ac:dyDescent="0.25">
      <c r="A17" t="s">
        <v>5</v>
      </c>
      <c r="B17">
        <v>4</v>
      </c>
      <c r="C17" t="s">
        <v>72</v>
      </c>
      <c r="D17" t="s">
        <v>23</v>
      </c>
      <c r="E17">
        <v>0</v>
      </c>
      <c r="F17">
        <v>0</v>
      </c>
      <c r="G17" s="43">
        <v>0</v>
      </c>
    </row>
    <row r="18" spans="1:7" x14ac:dyDescent="0.25">
      <c r="A18" t="s">
        <v>5</v>
      </c>
      <c r="B18">
        <v>4</v>
      </c>
      <c r="C18" t="s">
        <v>73</v>
      </c>
      <c r="D18" t="s">
        <v>74</v>
      </c>
      <c r="E18">
        <v>0</v>
      </c>
      <c r="F18">
        <v>0</v>
      </c>
      <c r="G18" s="43">
        <v>0</v>
      </c>
    </row>
    <row r="19" spans="1:7" x14ac:dyDescent="0.25">
      <c r="A19" t="s">
        <v>5</v>
      </c>
      <c r="B19">
        <v>4</v>
      </c>
      <c r="C19" t="s">
        <v>73</v>
      </c>
      <c r="D19" t="s">
        <v>75</v>
      </c>
      <c r="E19">
        <v>0</v>
      </c>
      <c r="F19">
        <v>0</v>
      </c>
      <c r="G19" s="43">
        <v>0</v>
      </c>
    </row>
    <row r="20" spans="1:7" x14ac:dyDescent="0.25">
      <c r="A20" t="s">
        <v>12</v>
      </c>
      <c r="B20">
        <v>4</v>
      </c>
      <c r="C20" t="s">
        <v>67</v>
      </c>
      <c r="D20" t="s">
        <v>68</v>
      </c>
      <c r="E20">
        <v>0</v>
      </c>
      <c r="F20">
        <v>0</v>
      </c>
      <c r="G20" s="43">
        <v>0</v>
      </c>
    </row>
    <row r="21" spans="1:7" x14ac:dyDescent="0.25">
      <c r="A21" t="s">
        <v>12</v>
      </c>
      <c r="B21">
        <v>4</v>
      </c>
      <c r="C21" t="s">
        <v>67</v>
      </c>
      <c r="D21" t="s">
        <v>69</v>
      </c>
      <c r="E21">
        <v>0</v>
      </c>
      <c r="F21">
        <v>0</v>
      </c>
      <c r="G21" s="43">
        <v>0</v>
      </c>
    </row>
    <row r="22" spans="1:7" x14ac:dyDescent="0.25">
      <c r="A22" t="s">
        <v>12</v>
      </c>
      <c r="B22">
        <v>4</v>
      </c>
      <c r="C22" t="s">
        <v>67</v>
      </c>
      <c r="D22" t="s">
        <v>70</v>
      </c>
      <c r="E22">
        <v>0</v>
      </c>
      <c r="F22">
        <v>0</v>
      </c>
      <c r="G22" s="43">
        <v>0</v>
      </c>
    </row>
    <row r="23" spans="1:7" x14ac:dyDescent="0.25">
      <c r="A23" t="s">
        <v>12</v>
      </c>
      <c r="B23">
        <v>4</v>
      </c>
      <c r="C23" t="s">
        <v>71</v>
      </c>
      <c r="D23" t="s">
        <v>68</v>
      </c>
      <c r="E23">
        <v>6</v>
      </c>
      <c r="F23">
        <v>395.84800000000007</v>
      </c>
      <c r="G23" s="43">
        <v>21910800</v>
      </c>
    </row>
    <row r="24" spans="1:7" x14ac:dyDescent="0.25">
      <c r="A24" t="s">
        <v>12</v>
      </c>
      <c r="B24">
        <v>4</v>
      </c>
      <c r="C24" t="s">
        <v>71</v>
      </c>
      <c r="D24" t="s">
        <v>69</v>
      </c>
      <c r="E24">
        <v>0</v>
      </c>
      <c r="F24">
        <v>0</v>
      </c>
      <c r="G24" s="43">
        <v>0</v>
      </c>
    </row>
    <row r="25" spans="1:7" x14ac:dyDescent="0.25">
      <c r="A25" t="s">
        <v>12</v>
      </c>
      <c r="B25">
        <v>4</v>
      </c>
      <c r="C25" t="s">
        <v>71</v>
      </c>
      <c r="D25" t="s">
        <v>70</v>
      </c>
      <c r="E25">
        <v>0</v>
      </c>
      <c r="F25">
        <v>0</v>
      </c>
      <c r="G25" s="43">
        <v>0</v>
      </c>
    </row>
    <row r="26" spans="1:7" x14ac:dyDescent="0.25">
      <c r="A26" t="s">
        <v>12</v>
      </c>
      <c r="B26">
        <v>4</v>
      </c>
      <c r="C26" t="s">
        <v>72</v>
      </c>
      <c r="D26" t="s">
        <v>23</v>
      </c>
      <c r="E26">
        <v>0</v>
      </c>
      <c r="F26">
        <v>0</v>
      </c>
      <c r="G26" s="43">
        <v>0</v>
      </c>
    </row>
    <row r="27" spans="1:7" x14ac:dyDescent="0.25">
      <c r="A27" t="s">
        <v>12</v>
      </c>
      <c r="B27">
        <v>4</v>
      </c>
      <c r="C27" t="s">
        <v>73</v>
      </c>
      <c r="D27" t="s">
        <v>74</v>
      </c>
      <c r="E27">
        <v>4</v>
      </c>
      <c r="F27">
        <v>129.72</v>
      </c>
      <c r="G27" s="43">
        <v>0</v>
      </c>
    </row>
    <row r="28" spans="1:7" x14ac:dyDescent="0.25">
      <c r="A28" t="s">
        <v>12</v>
      </c>
      <c r="B28">
        <v>4</v>
      </c>
      <c r="C28" t="s">
        <v>73</v>
      </c>
      <c r="D28" t="s">
        <v>75</v>
      </c>
      <c r="E28">
        <v>2</v>
      </c>
      <c r="F28">
        <v>63.480000000000004</v>
      </c>
      <c r="G28" s="43">
        <v>5000000</v>
      </c>
    </row>
    <row r="29" spans="1:7" x14ac:dyDescent="0.25">
      <c r="A29" t="s">
        <v>19</v>
      </c>
      <c r="B29">
        <v>4</v>
      </c>
      <c r="C29" t="s">
        <v>67</v>
      </c>
      <c r="D29" t="s">
        <v>68</v>
      </c>
      <c r="E29">
        <v>15</v>
      </c>
      <c r="F29">
        <v>1009.2769999999998</v>
      </c>
      <c r="G29" s="43">
        <v>336000000</v>
      </c>
    </row>
    <row r="30" spans="1:7" x14ac:dyDescent="0.25">
      <c r="A30" t="s">
        <v>19</v>
      </c>
      <c r="B30">
        <v>4</v>
      </c>
      <c r="C30" t="s">
        <v>67</v>
      </c>
      <c r="D30" t="s">
        <v>69</v>
      </c>
      <c r="E30">
        <v>0</v>
      </c>
      <c r="F30">
        <v>0</v>
      </c>
      <c r="G30" s="43">
        <v>0</v>
      </c>
    </row>
    <row r="31" spans="1:7" x14ac:dyDescent="0.25">
      <c r="A31" t="s">
        <v>19</v>
      </c>
      <c r="B31">
        <v>4</v>
      </c>
      <c r="C31" t="s">
        <v>67</v>
      </c>
      <c r="D31" t="s">
        <v>70</v>
      </c>
      <c r="E31">
        <v>4</v>
      </c>
      <c r="F31">
        <v>121.2</v>
      </c>
      <c r="G31" s="43">
        <v>77200000</v>
      </c>
    </row>
    <row r="32" spans="1:7" x14ac:dyDescent="0.25">
      <c r="A32" t="s">
        <v>19</v>
      </c>
      <c r="B32">
        <v>4</v>
      </c>
      <c r="C32" t="s">
        <v>71</v>
      </c>
      <c r="D32" t="s">
        <v>68</v>
      </c>
      <c r="E32">
        <v>0</v>
      </c>
      <c r="F32">
        <v>0</v>
      </c>
      <c r="G32" s="43">
        <v>0</v>
      </c>
    </row>
    <row r="33" spans="1:7" x14ac:dyDescent="0.25">
      <c r="A33" t="s">
        <v>19</v>
      </c>
      <c r="B33">
        <v>4</v>
      </c>
      <c r="C33" t="s">
        <v>71</v>
      </c>
      <c r="D33" t="s">
        <v>69</v>
      </c>
      <c r="E33">
        <v>0</v>
      </c>
      <c r="F33">
        <v>0</v>
      </c>
      <c r="G33" s="43">
        <v>0</v>
      </c>
    </row>
    <row r="34" spans="1:7" x14ac:dyDescent="0.25">
      <c r="A34" t="s">
        <v>19</v>
      </c>
      <c r="B34">
        <v>4</v>
      </c>
      <c r="C34" t="s">
        <v>71</v>
      </c>
      <c r="D34" t="s">
        <v>70</v>
      </c>
      <c r="E34">
        <v>0</v>
      </c>
      <c r="F34">
        <v>0</v>
      </c>
      <c r="G34" s="43">
        <v>0</v>
      </c>
    </row>
    <row r="35" spans="1:7" x14ac:dyDescent="0.25">
      <c r="A35" t="s">
        <v>19</v>
      </c>
      <c r="B35">
        <v>4</v>
      </c>
      <c r="C35" t="s">
        <v>72</v>
      </c>
      <c r="D35" t="s">
        <v>23</v>
      </c>
      <c r="E35">
        <v>0</v>
      </c>
      <c r="F35">
        <v>0</v>
      </c>
      <c r="G35" s="43">
        <v>0</v>
      </c>
    </row>
    <row r="36" spans="1:7" x14ac:dyDescent="0.25">
      <c r="A36" t="s">
        <v>19</v>
      </c>
      <c r="B36">
        <v>4</v>
      </c>
      <c r="C36" t="s">
        <v>73</v>
      </c>
      <c r="D36" t="s">
        <v>74</v>
      </c>
      <c r="E36">
        <v>0</v>
      </c>
      <c r="F36">
        <v>0</v>
      </c>
      <c r="G36" s="43">
        <v>0</v>
      </c>
    </row>
    <row r="37" spans="1:7" x14ac:dyDescent="0.25">
      <c r="A37" t="s">
        <v>19</v>
      </c>
      <c r="B37">
        <v>4</v>
      </c>
      <c r="C37" t="s">
        <v>73</v>
      </c>
      <c r="D37" t="s">
        <v>75</v>
      </c>
      <c r="E37">
        <v>0</v>
      </c>
      <c r="F37">
        <v>0</v>
      </c>
      <c r="G37" s="43">
        <v>0</v>
      </c>
    </row>
    <row r="38" spans="1:7" x14ac:dyDescent="0.25">
      <c r="A38" t="s">
        <v>22</v>
      </c>
      <c r="B38">
        <v>4</v>
      </c>
      <c r="C38" t="s">
        <v>67</v>
      </c>
      <c r="D38" t="s">
        <v>68</v>
      </c>
      <c r="E38">
        <v>0</v>
      </c>
      <c r="F38">
        <v>0</v>
      </c>
      <c r="G38" s="43">
        <v>0</v>
      </c>
    </row>
    <row r="39" spans="1:7" x14ac:dyDescent="0.25">
      <c r="A39" t="s">
        <v>22</v>
      </c>
      <c r="B39">
        <v>4</v>
      </c>
      <c r="C39" t="s">
        <v>67</v>
      </c>
      <c r="D39" t="s">
        <v>69</v>
      </c>
      <c r="E39">
        <v>0</v>
      </c>
      <c r="F39">
        <v>0</v>
      </c>
      <c r="G39" s="43">
        <v>0</v>
      </c>
    </row>
    <row r="40" spans="1:7" x14ac:dyDescent="0.25">
      <c r="A40" t="s">
        <v>22</v>
      </c>
      <c r="B40">
        <v>4</v>
      </c>
      <c r="C40" t="s">
        <v>67</v>
      </c>
      <c r="D40" t="s">
        <v>70</v>
      </c>
      <c r="E40">
        <v>0</v>
      </c>
      <c r="F40">
        <v>0</v>
      </c>
      <c r="G40" s="43">
        <v>0</v>
      </c>
    </row>
    <row r="41" spans="1:7" x14ac:dyDescent="0.25">
      <c r="A41" t="s">
        <v>22</v>
      </c>
      <c r="B41">
        <v>4</v>
      </c>
      <c r="C41" t="s">
        <v>71</v>
      </c>
      <c r="D41" t="s">
        <v>68</v>
      </c>
      <c r="E41">
        <v>0</v>
      </c>
      <c r="F41">
        <v>0</v>
      </c>
      <c r="G41" s="43">
        <v>0</v>
      </c>
    </row>
    <row r="42" spans="1:7" x14ac:dyDescent="0.25">
      <c r="A42" t="s">
        <v>22</v>
      </c>
      <c r="B42">
        <v>4</v>
      </c>
      <c r="C42" t="s">
        <v>71</v>
      </c>
      <c r="D42" t="s">
        <v>69</v>
      </c>
      <c r="E42">
        <v>0</v>
      </c>
      <c r="F42">
        <v>0</v>
      </c>
      <c r="G42" s="43">
        <v>0</v>
      </c>
    </row>
    <row r="43" spans="1:7" x14ac:dyDescent="0.25">
      <c r="A43" t="s">
        <v>22</v>
      </c>
      <c r="B43">
        <v>4</v>
      </c>
      <c r="C43" t="s">
        <v>71</v>
      </c>
      <c r="D43" t="s">
        <v>70</v>
      </c>
      <c r="E43">
        <v>0</v>
      </c>
      <c r="F43">
        <v>0</v>
      </c>
      <c r="G43" s="43">
        <v>0</v>
      </c>
    </row>
    <row r="44" spans="1:7" x14ac:dyDescent="0.25">
      <c r="A44" t="s">
        <v>22</v>
      </c>
      <c r="B44">
        <v>4</v>
      </c>
      <c r="C44" t="s">
        <v>72</v>
      </c>
      <c r="D44" t="s">
        <v>23</v>
      </c>
      <c r="E44">
        <v>3</v>
      </c>
      <c r="F44">
        <v>6.78</v>
      </c>
      <c r="G44" s="43">
        <v>3990898</v>
      </c>
    </row>
    <row r="45" spans="1:7" x14ac:dyDescent="0.25">
      <c r="A45" t="s">
        <v>22</v>
      </c>
      <c r="B45">
        <v>4</v>
      </c>
      <c r="C45" t="s">
        <v>73</v>
      </c>
      <c r="D45" t="s">
        <v>74</v>
      </c>
      <c r="E45">
        <v>0</v>
      </c>
      <c r="F45">
        <v>0</v>
      </c>
      <c r="G45" s="43">
        <v>0</v>
      </c>
    </row>
    <row r="46" spans="1:7" x14ac:dyDescent="0.25">
      <c r="A46" t="s">
        <v>22</v>
      </c>
      <c r="B46">
        <v>4</v>
      </c>
      <c r="C46" t="s">
        <v>73</v>
      </c>
      <c r="D46" t="s">
        <v>75</v>
      </c>
      <c r="E46">
        <v>0</v>
      </c>
      <c r="F46">
        <v>0</v>
      </c>
      <c r="G46" s="43">
        <v>0</v>
      </c>
    </row>
    <row r="47" spans="1:7" x14ac:dyDescent="0.25">
      <c r="A47" t="s">
        <v>15</v>
      </c>
      <c r="B47">
        <v>4</v>
      </c>
      <c r="C47" t="s">
        <v>67</v>
      </c>
      <c r="D47" t="s">
        <v>68</v>
      </c>
      <c r="E47">
        <v>0</v>
      </c>
      <c r="F47">
        <v>0</v>
      </c>
      <c r="G47" s="43">
        <v>0</v>
      </c>
    </row>
    <row r="48" spans="1:7" x14ac:dyDescent="0.25">
      <c r="A48" t="s">
        <v>15</v>
      </c>
      <c r="B48">
        <v>4</v>
      </c>
      <c r="C48" t="s">
        <v>67</v>
      </c>
      <c r="D48" t="s">
        <v>69</v>
      </c>
      <c r="E48">
        <v>0</v>
      </c>
      <c r="F48">
        <v>0</v>
      </c>
      <c r="G48" s="43">
        <v>0</v>
      </c>
    </row>
    <row r="49" spans="1:7" x14ac:dyDescent="0.25">
      <c r="A49" t="s">
        <v>15</v>
      </c>
      <c r="B49">
        <v>4</v>
      </c>
      <c r="C49" t="s">
        <v>67</v>
      </c>
      <c r="D49" t="s">
        <v>70</v>
      </c>
      <c r="E49">
        <v>0</v>
      </c>
      <c r="F49">
        <v>0</v>
      </c>
      <c r="G49" s="43">
        <v>0</v>
      </c>
    </row>
    <row r="50" spans="1:7" x14ac:dyDescent="0.25">
      <c r="A50" t="s">
        <v>15</v>
      </c>
      <c r="B50">
        <v>4</v>
      </c>
      <c r="C50" t="s">
        <v>71</v>
      </c>
      <c r="D50" t="s">
        <v>68</v>
      </c>
      <c r="E50">
        <v>0</v>
      </c>
      <c r="F50">
        <v>0</v>
      </c>
      <c r="G50" s="43">
        <v>0</v>
      </c>
    </row>
    <row r="51" spans="1:7" x14ac:dyDescent="0.25">
      <c r="A51" t="s">
        <v>15</v>
      </c>
      <c r="B51">
        <v>4</v>
      </c>
      <c r="C51" t="s">
        <v>71</v>
      </c>
      <c r="D51" t="s">
        <v>69</v>
      </c>
      <c r="E51">
        <v>2</v>
      </c>
      <c r="F51">
        <v>127.5</v>
      </c>
      <c r="G51" s="43">
        <v>25000000</v>
      </c>
    </row>
    <row r="52" spans="1:7" x14ac:dyDescent="0.25">
      <c r="A52" t="s">
        <v>15</v>
      </c>
      <c r="B52">
        <v>4</v>
      </c>
      <c r="C52" t="s">
        <v>71</v>
      </c>
      <c r="D52" t="s">
        <v>70</v>
      </c>
      <c r="E52">
        <v>0</v>
      </c>
      <c r="F52">
        <v>0</v>
      </c>
      <c r="G52" s="43">
        <v>0</v>
      </c>
    </row>
    <row r="53" spans="1:7" x14ac:dyDescent="0.25">
      <c r="A53" t="s">
        <v>15</v>
      </c>
      <c r="B53">
        <v>4</v>
      </c>
      <c r="C53" t="s">
        <v>72</v>
      </c>
      <c r="D53" t="s">
        <v>23</v>
      </c>
      <c r="E53">
        <v>0</v>
      </c>
      <c r="F53">
        <v>0</v>
      </c>
      <c r="G53" s="43">
        <v>0</v>
      </c>
    </row>
    <row r="54" spans="1:7" x14ac:dyDescent="0.25">
      <c r="A54" t="s">
        <v>15</v>
      </c>
      <c r="B54">
        <v>4</v>
      </c>
      <c r="C54" t="s">
        <v>73</v>
      </c>
      <c r="D54" t="s">
        <v>74</v>
      </c>
      <c r="E54">
        <v>0</v>
      </c>
      <c r="F54">
        <v>0</v>
      </c>
      <c r="G54" s="43">
        <v>0</v>
      </c>
    </row>
    <row r="55" spans="1:7" x14ac:dyDescent="0.25">
      <c r="A55" t="s">
        <v>15</v>
      </c>
      <c r="B55">
        <v>4</v>
      </c>
      <c r="C55" t="s">
        <v>73</v>
      </c>
      <c r="D55" t="s">
        <v>75</v>
      </c>
      <c r="E55">
        <v>0</v>
      </c>
      <c r="F55">
        <v>0</v>
      </c>
      <c r="G55" s="43">
        <v>0</v>
      </c>
    </row>
    <row r="56" spans="1:7" x14ac:dyDescent="0.25">
      <c r="A56" t="s">
        <v>76</v>
      </c>
      <c r="B56">
        <v>4</v>
      </c>
      <c r="C56" t="s">
        <v>67</v>
      </c>
      <c r="D56" t="s">
        <v>68</v>
      </c>
      <c r="E56">
        <v>82</v>
      </c>
      <c r="F56">
        <v>5509.6909999999989</v>
      </c>
      <c r="G56" s="43">
        <v>1548300000</v>
      </c>
    </row>
    <row r="57" spans="1:7" x14ac:dyDescent="0.25">
      <c r="A57" t="s">
        <v>76</v>
      </c>
      <c r="B57">
        <v>4</v>
      </c>
      <c r="C57" t="s">
        <v>67</v>
      </c>
      <c r="D57" t="s">
        <v>69</v>
      </c>
      <c r="E57">
        <v>5</v>
      </c>
      <c r="F57">
        <v>339.36200000000002</v>
      </c>
      <c r="G57" s="43">
        <v>92750000</v>
      </c>
    </row>
    <row r="58" spans="1:7" x14ac:dyDescent="0.25">
      <c r="A58" t="s">
        <v>76</v>
      </c>
      <c r="B58">
        <v>4</v>
      </c>
      <c r="C58" t="s">
        <v>67</v>
      </c>
      <c r="D58" t="s">
        <v>70</v>
      </c>
      <c r="E58">
        <v>34</v>
      </c>
      <c r="F58">
        <v>2294.7429999999999</v>
      </c>
      <c r="G58" s="43">
        <v>527900000</v>
      </c>
    </row>
    <row r="59" spans="1:7" x14ac:dyDescent="0.25">
      <c r="A59" t="s">
        <v>76</v>
      </c>
      <c r="B59">
        <v>4</v>
      </c>
      <c r="C59" t="s">
        <v>71</v>
      </c>
      <c r="D59" t="s">
        <v>68</v>
      </c>
      <c r="E59">
        <v>53</v>
      </c>
      <c r="F59">
        <v>3297.0620000000004</v>
      </c>
      <c r="G59" s="43">
        <v>1335910800</v>
      </c>
    </row>
    <row r="60" spans="1:7" x14ac:dyDescent="0.25">
      <c r="A60" t="s">
        <v>76</v>
      </c>
      <c r="B60">
        <v>4</v>
      </c>
      <c r="C60" t="s">
        <v>71</v>
      </c>
      <c r="D60" t="s">
        <v>69</v>
      </c>
      <c r="E60">
        <v>2</v>
      </c>
      <c r="F60">
        <v>127.5</v>
      </c>
      <c r="G60" s="43">
        <v>25000000</v>
      </c>
    </row>
    <row r="61" spans="1:7" x14ac:dyDescent="0.25">
      <c r="A61" t="s">
        <v>76</v>
      </c>
      <c r="B61">
        <v>4</v>
      </c>
      <c r="C61" t="s">
        <v>71</v>
      </c>
      <c r="D61" t="s">
        <v>70</v>
      </c>
      <c r="E61">
        <v>0</v>
      </c>
      <c r="F61">
        <v>0</v>
      </c>
      <c r="G61" s="43">
        <v>0</v>
      </c>
    </row>
    <row r="62" spans="1:7" x14ac:dyDescent="0.25">
      <c r="A62" t="s">
        <v>76</v>
      </c>
      <c r="B62">
        <v>4</v>
      </c>
      <c r="C62" t="s">
        <v>72</v>
      </c>
      <c r="D62" t="s">
        <v>23</v>
      </c>
      <c r="E62">
        <v>9</v>
      </c>
      <c r="F62">
        <v>17.920000000000002</v>
      </c>
      <c r="G62" s="43">
        <v>20423294</v>
      </c>
    </row>
    <row r="63" spans="1:7" x14ac:dyDescent="0.25">
      <c r="A63" t="s">
        <v>76</v>
      </c>
      <c r="B63">
        <v>4</v>
      </c>
      <c r="C63" t="s">
        <v>73</v>
      </c>
      <c r="D63" t="s">
        <v>74</v>
      </c>
      <c r="E63">
        <v>4</v>
      </c>
      <c r="F63">
        <v>129.72</v>
      </c>
      <c r="G63" s="43">
        <v>0</v>
      </c>
    </row>
    <row r="64" spans="1:7" x14ac:dyDescent="0.25">
      <c r="A64" t="s">
        <v>76</v>
      </c>
      <c r="B64">
        <v>4</v>
      </c>
      <c r="C64" t="s">
        <v>73</v>
      </c>
      <c r="D64" t="s">
        <v>75</v>
      </c>
      <c r="E64">
        <v>2</v>
      </c>
      <c r="F64">
        <v>63.480000000000004</v>
      </c>
      <c r="G64" s="43">
        <v>5000000</v>
      </c>
    </row>
    <row r="65" spans="1:7" x14ac:dyDescent="0.25">
      <c r="A65" t="s">
        <v>28</v>
      </c>
      <c r="B65">
        <v>5</v>
      </c>
      <c r="C65" t="s">
        <v>67</v>
      </c>
      <c r="D65" t="s">
        <v>68</v>
      </c>
      <c r="E65">
        <v>28</v>
      </c>
      <c r="F65">
        <v>1869.6869999999994</v>
      </c>
      <c r="G65" s="43">
        <v>445500000</v>
      </c>
    </row>
    <row r="66" spans="1:7" x14ac:dyDescent="0.25">
      <c r="A66" t="s">
        <v>28</v>
      </c>
      <c r="B66">
        <v>5</v>
      </c>
      <c r="C66" t="s">
        <v>67</v>
      </c>
      <c r="D66" t="s">
        <v>69</v>
      </c>
      <c r="E66">
        <v>9</v>
      </c>
      <c r="F66">
        <v>608.60900000000004</v>
      </c>
      <c r="G66" s="43">
        <v>148500000</v>
      </c>
    </row>
    <row r="67" spans="1:7" x14ac:dyDescent="0.25">
      <c r="A67" t="s">
        <v>28</v>
      </c>
      <c r="B67">
        <v>5</v>
      </c>
      <c r="C67" t="s">
        <v>67</v>
      </c>
      <c r="D67" t="s">
        <v>70</v>
      </c>
      <c r="E67">
        <v>15</v>
      </c>
      <c r="F67">
        <v>1006.7190000000001</v>
      </c>
      <c r="G67" s="43">
        <v>232500000</v>
      </c>
    </row>
    <row r="68" spans="1:7" x14ac:dyDescent="0.25">
      <c r="A68" t="s">
        <v>28</v>
      </c>
      <c r="B68">
        <v>5</v>
      </c>
      <c r="C68" t="s">
        <v>71</v>
      </c>
      <c r="D68" t="s">
        <v>68</v>
      </c>
      <c r="E68">
        <v>10</v>
      </c>
      <c r="F68">
        <v>677.7360000000001</v>
      </c>
      <c r="G68" s="43">
        <v>352500000</v>
      </c>
    </row>
    <row r="69" spans="1:7" x14ac:dyDescent="0.25">
      <c r="A69" t="s">
        <v>28</v>
      </c>
      <c r="B69">
        <v>5</v>
      </c>
      <c r="C69" t="s">
        <v>71</v>
      </c>
      <c r="D69" t="s">
        <v>69</v>
      </c>
      <c r="E69">
        <v>3</v>
      </c>
      <c r="F69">
        <v>225.792</v>
      </c>
      <c r="G69" s="43">
        <v>96000000</v>
      </c>
    </row>
    <row r="70" spans="1:7" x14ac:dyDescent="0.25">
      <c r="A70" t="s">
        <v>28</v>
      </c>
      <c r="B70">
        <v>5</v>
      </c>
      <c r="C70" t="s">
        <v>71</v>
      </c>
      <c r="D70" t="s">
        <v>70</v>
      </c>
      <c r="E70">
        <v>5</v>
      </c>
      <c r="F70">
        <v>365.74199999999996</v>
      </c>
      <c r="G70" s="43">
        <v>178000000</v>
      </c>
    </row>
    <row r="71" spans="1:7" x14ac:dyDescent="0.25">
      <c r="A71" t="s">
        <v>28</v>
      </c>
      <c r="B71">
        <v>5</v>
      </c>
      <c r="C71" t="s">
        <v>72</v>
      </c>
      <c r="D71" t="s">
        <v>23</v>
      </c>
      <c r="E71">
        <v>3</v>
      </c>
      <c r="F71">
        <v>42.94</v>
      </c>
      <c r="G71" s="43">
        <v>55294602</v>
      </c>
    </row>
    <row r="72" spans="1:7" x14ac:dyDescent="0.25">
      <c r="A72" t="s">
        <v>28</v>
      </c>
      <c r="B72">
        <v>5</v>
      </c>
      <c r="C72" t="s">
        <v>73</v>
      </c>
      <c r="D72" t="s">
        <v>74</v>
      </c>
      <c r="E72">
        <v>0</v>
      </c>
      <c r="F72">
        <v>0</v>
      </c>
      <c r="G72" s="43">
        <v>0</v>
      </c>
    </row>
    <row r="73" spans="1:7" x14ac:dyDescent="0.25">
      <c r="A73" t="s">
        <v>28</v>
      </c>
      <c r="B73">
        <v>5</v>
      </c>
      <c r="C73" t="s">
        <v>73</v>
      </c>
      <c r="D73" t="s">
        <v>75</v>
      </c>
      <c r="E73">
        <v>0</v>
      </c>
      <c r="F73">
        <v>0</v>
      </c>
      <c r="G73" s="43">
        <v>0</v>
      </c>
    </row>
    <row r="74" spans="1:7" x14ac:dyDescent="0.25">
      <c r="A74" t="s">
        <v>5</v>
      </c>
      <c r="B74">
        <v>5</v>
      </c>
      <c r="C74" t="s">
        <v>67</v>
      </c>
      <c r="D74" t="s">
        <v>68</v>
      </c>
      <c r="E74">
        <v>17</v>
      </c>
      <c r="F74">
        <v>1151.742</v>
      </c>
      <c r="G74" s="43">
        <v>287600000</v>
      </c>
    </row>
    <row r="75" spans="1:7" x14ac:dyDescent="0.25">
      <c r="A75" t="s">
        <v>5</v>
      </c>
      <c r="B75">
        <v>5</v>
      </c>
      <c r="C75" t="s">
        <v>67</v>
      </c>
      <c r="D75" t="s">
        <v>69</v>
      </c>
      <c r="E75">
        <v>3</v>
      </c>
      <c r="F75">
        <v>204.12</v>
      </c>
      <c r="G75" s="43">
        <v>50250000</v>
      </c>
    </row>
    <row r="76" spans="1:7" x14ac:dyDescent="0.25">
      <c r="A76" t="s">
        <v>5</v>
      </c>
      <c r="B76">
        <v>5</v>
      </c>
      <c r="C76" t="s">
        <v>67</v>
      </c>
      <c r="D76" t="s">
        <v>70</v>
      </c>
      <c r="E76">
        <v>6</v>
      </c>
      <c r="F76">
        <v>407.67199999999997</v>
      </c>
      <c r="G76" s="43">
        <v>100200000</v>
      </c>
    </row>
    <row r="77" spans="1:7" x14ac:dyDescent="0.25">
      <c r="A77" t="s">
        <v>5</v>
      </c>
      <c r="B77">
        <v>5</v>
      </c>
      <c r="C77" t="s">
        <v>71</v>
      </c>
      <c r="D77" t="s">
        <v>68</v>
      </c>
      <c r="E77">
        <v>1</v>
      </c>
      <c r="F77">
        <v>67.8</v>
      </c>
      <c r="G77" s="43">
        <v>19000000</v>
      </c>
    </row>
    <row r="78" spans="1:7" x14ac:dyDescent="0.25">
      <c r="A78" t="s">
        <v>5</v>
      </c>
      <c r="B78">
        <v>5</v>
      </c>
      <c r="C78" t="s">
        <v>71</v>
      </c>
      <c r="D78" t="s">
        <v>69</v>
      </c>
      <c r="E78">
        <v>5</v>
      </c>
      <c r="F78">
        <v>365.28000000000003</v>
      </c>
      <c r="G78" s="43">
        <v>110000000</v>
      </c>
    </row>
    <row r="79" spans="1:7" x14ac:dyDescent="0.25">
      <c r="A79" t="s">
        <v>5</v>
      </c>
      <c r="B79">
        <v>5</v>
      </c>
      <c r="C79" t="s">
        <v>71</v>
      </c>
      <c r="D79" t="s">
        <v>70</v>
      </c>
      <c r="E79">
        <v>6</v>
      </c>
      <c r="F79">
        <v>457.87500000000011</v>
      </c>
      <c r="G79" s="43">
        <v>120000000</v>
      </c>
    </row>
    <row r="80" spans="1:7" x14ac:dyDescent="0.25">
      <c r="A80" t="s">
        <v>5</v>
      </c>
      <c r="B80">
        <v>5</v>
      </c>
      <c r="C80" t="s">
        <v>72</v>
      </c>
      <c r="D80" t="s">
        <v>23</v>
      </c>
      <c r="E80">
        <v>0</v>
      </c>
      <c r="F80">
        <v>0</v>
      </c>
      <c r="G80" s="43">
        <v>0</v>
      </c>
    </row>
    <row r="81" spans="1:7" x14ac:dyDescent="0.25">
      <c r="A81" t="s">
        <v>5</v>
      </c>
      <c r="B81">
        <v>5</v>
      </c>
      <c r="C81" t="s">
        <v>73</v>
      </c>
      <c r="D81" t="s">
        <v>74</v>
      </c>
      <c r="E81">
        <v>0</v>
      </c>
      <c r="F81">
        <v>0</v>
      </c>
      <c r="G81" s="43">
        <v>0</v>
      </c>
    </row>
    <row r="82" spans="1:7" x14ac:dyDescent="0.25">
      <c r="A82" t="s">
        <v>5</v>
      </c>
      <c r="B82">
        <v>5</v>
      </c>
      <c r="C82" t="s">
        <v>73</v>
      </c>
      <c r="D82" t="s">
        <v>75</v>
      </c>
      <c r="E82">
        <v>0</v>
      </c>
      <c r="F82">
        <v>0</v>
      </c>
      <c r="G82" s="43">
        <v>0</v>
      </c>
    </row>
    <row r="83" spans="1:7" x14ac:dyDescent="0.25">
      <c r="A83" t="s">
        <v>12</v>
      </c>
      <c r="B83">
        <v>5</v>
      </c>
      <c r="C83" t="s">
        <v>67</v>
      </c>
      <c r="D83" t="s">
        <v>68</v>
      </c>
      <c r="E83">
        <v>0</v>
      </c>
      <c r="F83">
        <v>0</v>
      </c>
      <c r="G83" s="43">
        <v>0</v>
      </c>
    </row>
    <row r="84" spans="1:7" x14ac:dyDescent="0.25">
      <c r="A84" t="s">
        <v>12</v>
      </c>
      <c r="B84">
        <v>5</v>
      </c>
      <c r="C84" t="s">
        <v>67</v>
      </c>
      <c r="D84" t="s">
        <v>69</v>
      </c>
      <c r="E84">
        <v>0</v>
      </c>
      <c r="F84">
        <v>0</v>
      </c>
      <c r="G84" s="43">
        <v>0</v>
      </c>
    </row>
    <row r="85" spans="1:7" x14ac:dyDescent="0.25">
      <c r="A85" t="s">
        <v>12</v>
      </c>
      <c r="B85">
        <v>5</v>
      </c>
      <c r="C85" t="s">
        <v>67</v>
      </c>
      <c r="D85" t="s">
        <v>70</v>
      </c>
      <c r="E85">
        <v>0</v>
      </c>
      <c r="F85">
        <v>0</v>
      </c>
      <c r="G85" s="43">
        <v>0</v>
      </c>
    </row>
    <row r="86" spans="1:7" x14ac:dyDescent="0.25">
      <c r="A86" t="s">
        <v>12</v>
      </c>
      <c r="B86">
        <v>5</v>
      </c>
      <c r="C86" t="s">
        <v>71</v>
      </c>
      <c r="D86" t="s">
        <v>68</v>
      </c>
      <c r="E86">
        <v>6</v>
      </c>
      <c r="F86">
        <v>404.4670000000001</v>
      </c>
      <c r="G86" s="43">
        <v>21910800</v>
      </c>
    </row>
    <row r="87" spans="1:7" x14ac:dyDescent="0.25">
      <c r="A87" t="s">
        <v>12</v>
      </c>
      <c r="B87">
        <v>5</v>
      </c>
      <c r="C87" t="s">
        <v>71</v>
      </c>
      <c r="D87" t="s">
        <v>69</v>
      </c>
      <c r="E87">
        <v>0</v>
      </c>
      <c r="F87">
        <v>0</v>
      </c>
      <c r="G87" s="43">
        <v>0</v>
      </c>
    </row>
    <row r="88" spans="1:7" x14ac:dyDescent="0.25">
      <c r="A88" t="s">
        <v>12</v>
      </c>
      <c r="B88">
        <v>5</v>
      </c>
      <c r="C88" t="s">
        <v>71</v>
      </c>
      <c r="D88" t="s">
        <v>70</v>
      </c>
      <c r="E88">
        <v>0</v>
      </c>
      <c r="F88">
        <v>0</v>
      </c>
      <c r="G88" s="43">
        <v>0</v>
      </c>
    </row>
    <row r="89" spans="1:7" x14ac:dyDescent="0.25">
      <c r="A89" t="s">
        <v>12</v>
      </c>
      <c r="B89">
        <v>5</v>
      </c>
      <c r="C89" t="s">
        <v>72</v>
      </c>
      <c r="D89" t="s">
        <v>23</v>
      </c>
      <c r="E89">
        <v>0</v>
      </c>
      <c r="F89">
        <v>0</v>
      </c>
      <c r="G89" s="43">
        <v>0</v>
      </c>
    </row>
    <row r="90" spans="1:7" x14ac:dyDescent="0.25">
      <c r="A90" t="s">
        <v>12</v>
      </c>
      <c r="B90">
        <v>5</v>
      </c>
      <c r="C90" t="s">
        <v>73</v>
      </c>
      <c r="D90" t="s">
        <v>74</v>
      </c>
      <c r="E90">
        <v>2</v>
      </c>
      <c r="F90">
        <v>133.703</v>
      </c>
      <c r="G90" s="43">
        <v>0</v>
      </c>
    </row>
    <row r="91" spans="1:7" x14ac:dyDescent="0.25">
      <c r="A91" t="s">
        <v>12</v>
      </c>
      <c r="B91">
        <v>5</v>
      </c>
      <c r="C91" t="s">
        <v>73</v>
      </c>
      <c r="D91" t="s">
        <v>75</v>
      </c>
      <c r="E91">
        <v>0</v>
      </c>
      <c r="F91">
        <v>0</v>
      </c>
      <c r="G91" s="43">
        <v>0</v>
      </c>
    </row>
    <row r="92" spans="1:7" x14ac:dyDescent="0.25">
      <c r="A92" t="s">
        <v>19</v>
      </c>
      <c r="B92">
        <v>5</v>
      </c>
      <c r="C92" t="s">
        <v>67</v>
      </c>
      <c r="D92" t="s">
        <v>68</v>
      </c>
      <c r="E92">
        <v>3</v>
      </c>
      <c r="F92">
        <v>202.35999999999999</v>
      </c>
      <c r="G92" s="43">
        <v>63000000</v>
      </c>
    </row>
    <row r="93" spans="1:7" x14ac:dyDescent="0.25">
      <c r="A93" t="s">
        <v>19</v>
      </c>
      <c r="B93">
        <v>5</v>
      </c>
      <c r="C93" t="s">
        <v>67</v>
      </c>
      <c r="D93" t="s">
        <v>69</v>
      </c>
      <c r="E93">
        <v>0</v>
      </c>
      <c r="F93">
        <v>0</v>
      </c>
      <c r="G93" s="43">
        <v>0</v>
      </c>
    </row>
    <row r="94" spans="1:7" x14ac:dyDescent="0.25">
      <c r="A94" t="s">
        <v>19</v>
      </c>
      <c r="B94">
        <v>5</v>
      </c>
      <c r="C94" t="s">
        <v>67</v>
      </c>
      <c r="D94" t="s">
        <v>70</v>
      </c>
      <c r="E94">
        <v>5</v>
      </c>
      <c r="F94">
        <v>339.65</v>
      </c>
      <c r="G94" s="43">
        <v>96500000</v>
      </c>
    </row>
    <row r="95" spans="1:7" x14ac:dyDescent="0.25">
      <c r="A95" t="s">
        <v>19</v>
      </c>
      <c r="B95">
        <v>5</v>
      </c>
      <c r="C95" t="s">
        <v>71</v>
      </c>
      <c r="D95" t="s">
        <v>68</v>
      </c>
      <c r="E95">
        <v>5</v>
      </c>
      <c r="F95">
        <v>337.03899999999999</v>
      </c>
      <c r="G95" s="43">
        <v>200500000</v>
      </c>
    </row>
    <row r="96" spans="1:7" x14ac:dyDescent="0.25">
      <c r="A96" t="s">
        <v>19</v>
      </c>
      <c r="B96">
        <v>5</v>
      </c>
      <c r="C96" t="s">
        <v>71</v>
      </c>
      <c r="D96" t="s">
        <v>69</v>
      </c>
      <c r="E96">
        <v>0</v>
      </c>
      <c r="F96">
        <v>0</v>
      </c>
      <c r="G96" s="43">
        <v>0</v>
      </c>
    </row>
    <row r="97" spans="1:7" x14ac:dyDescent="0.25">
      <c r="A97" t="s">
        <v>19</v>
      </c>
      <c r="B97">
        <v>5</v>
      </c>
      <c r="C97" t="s">
        <v>71</v>
      </c>
      <c r="D97" t="s">
        <v>70</v>
      </c>
      <c r="E97">
        <v>0</v>
      </c>
      <c r="F97">
        <v>0</v>
      </c>
      <c r="G97" s="43">
        <v>0</v>
      </c>
    </row>
    <row r="98" spans="1:7" x14ac:dyDescent="0.25">
      <c r="A98" t="s">
        <v>19</v>
      </c>
      <c r="B98">
        <v>5</v>
      </c>
      <c r="C98" t="s">
        <v>72</v>
      </c>
      <c r="D98" t="s">
        <v>23</v>
      </c>
      <c r="E98">
        <v>0</v>
      </c>
      <c r="F98">
        <v>0</v>
      </c>
      <c r="G98" s="43">
        <v>0</v>
      </c>
    </row>
    <row r="99" spans="1:7" x14ac:dyDescent="0.25">
      <c r="A99" t="s">
        <v>19</v>
      </c>
      <c r="B99">
        <v>5</v>
      </c>
      <c r="C99" t="s">
        <v>73</v>
      </c>
      <c r="D99" t="s">
        <v>74</v>
      </c>
      <c r="E99">
        <v>0</v>
      </c>
      <c r="F99">
        <v>0</v>
      </c>
      <c r="G99" s="43">
        <v>0</v>
      </c>
    </row>
    <row r="100" spans="1:7" x14ac:dyDescent="0.25">
      <c r="A100" t="s">
        <v>19</v>
      </c>
      <c r="B100">
        <v>5</v>
      </c>
      <c r="C100" t="s">
        <v>73</v>
      </c>
      <c r="D100" t="s">
        <v>75</v>
      </c>
      <c r="E100">
        <v>0</v>
      </c>
      <c r="F100">
        <v>0</v>
      </c>
      <c r="G100" s="43">
        <v>0</v>
      </c>
    </row>
    <row r="101" spans="1:7" x14ac:dyDescent="0.25">
      <c r="A101" t="s">
        <v>22</v>
      </c>
      <c r="B101">
        <v>5</v>
      </c>
      <c r="C101" t="s">
        <v>67</v>
      </c>
      <c r="D101" t="s">
        <v>68</v>
      </c>
      <c r="E101">
        <v>0</v>
      </c>
      <c r="F101">
        <v>0</v>
      </c>
      <c r="G101" s="43">
        <v>0</v>
      </c>
    </row>
    <row r="102" spans="1:7" x14ac:dyDescent="0.25">
      <c r="A102" t="s">
        <v>22</v>
      </c>
      <c r="B102">
        <v>5</v>
      </c>
      <c r="C102" t="s">
        <v>67</v>
      </c>
      <c r="D102" t="s">
        <v>69</v>
      </c>
      <c r="E102">
        <v>0</v>
      </c>
      <c r="F102">
        <v>0</v>
      </c>
      <c r="G102" s="43">
        <v>0</v>
      </c>
    </row>
    <row r="103" spans="1:7" x14ac:dyDescent="0.25">
      <c r="A103" t="s">
        <v>22</v>
      </c>
      <c r="B103">
        <v>5</v>
      </c>
      <c r="C103" t="s">
        <v>67</v>
      </c>
      <c r="D103" t="s">
        <v>70</v>
      </c>
      <c r="E103">
        <v>0</v>
      </c>
      <c r="F103">
        <v>0</v>
      </c>
      <c r="G103" s="43">
        <v>0</v>
      </c>
    </row>
    <row r="104" spans="1:7" x14ac:dyDescent="0.25">
      <c r="A104" t="s">
        <v>22</v>
      </c>
      <c r="B104">
        <v>5</v>
      </c>
      <c r="C104" t="s">
        <v>71</v>
      </c>
      <c r="D104" t="s">
        <v>68</v>
      </c>
      <c r="E104">
        <v>0</v>
      </c>
      <c r="F104">
        <v>0</v>
      </c>
      <c r="G104" s="43">
        <v>0</v>
      </c>
    </row>
    <row r="105" spans="1:7" x14ac:dyDescent="0.25">
      <c r="A105" t="s">
        <v>22</v>
      </c>
      <c r="B105">
        <v>5</v>
      </c>
      <c r="C105" t="s">
        <v>71</v>
      </c>
      <c r="D105" t="s">
        <v>69</v>
      </c>
      <c r="E105">
        <v>0</v>
      </c>
      <c r="F105">
        <v>0</v>
      </c>
      <c r="G105" s="43">
        <v>0</v>
      </c>
    </row>
    <row r="106" spans="1:7" x14ac:dyDescent="0.25">
      <c r="A106" t="s">
        <v>22</v>
      </c>
      <c r="B106">
        <v>5</v>
      </c>
      <c r="C106" t="s">
        <v>71</v>
      </c>
      <c r="D106" t="s">
        <v>70</v>
      </c>
      <c r="E106">
        <v>0</v>
      </c>
      <c r="F106">
        <v>0</v>
      </c>
      <c r="G106" s="43">
        <v>0</v>
      </c>
    </row>
    <row r="107" spans="1:7" x14ac:dyDescent="0.25">
      <c r="A107" t="s">
        <v>22</v>
      </c>
      <c r="B107">
        <v>5</v>
      </c>
      <c r="C107" t="s">
        <v>72</v>
      </c>
      <c r="D107" t="s">
        <v>23</v>
      </c>
      <c r="E107">
        <v>2</v>
      </c>
      <c r="F107">
        <v>7.88</v>
      </c>
      <c r="G107" s="43">
        <v>2331153</v>
      </c>
    </row>
    <row r="108" spans="1:7" x14ac:dyDescent="0.25">
      <c r="A108" t="s">
        <v>22</v>
      </c>
      <c r="B108">
        <v>5</v>
      </c>
      <c r="C108" t="s">
        <v>73</v>
      </c>
      <c r="D108" t="s">
        <v>74</v>
      </c>
      <c r="E108">
        <v>0</v>
      </c>
      <c r="F108">
        <v>0</v>
      </c>
      <c r="G108" s="43">
        <v>0</v>
      </c>
    </row>
    <row r="109" spans="1:7" x14ac:dyDescent="0.25">
      <c r="A109" t="s">
        <v>22</v>
      </c>
      <c r="B109">
        <v>5</v>
      </c>
      <c r="C109" t="s">
        <v>73</v>
      </c>
      <c r="D109" t="s">
        <v>75</v>
      </c>
      <c r="E109">
        <v>0</v>
      </c>
      <c r="F109">
        <v>0</v>
      </c>
      <c r="G109" s="43">
        <v>0</v>
      </c>
    </row>
    <row r="110" spans="1:7" x14ac:dyDescent="0.25">
      <c r="A110" t="s">
        <v>15</v>
      </c>
      <c r="B110">
        <v>5</v>
      </c>
      <c r="C110" t="s">
        <v>67</v>
      </c>
      <c r="D110" t="s">
        <v>68</v>
      </c>
      <c r="E110">
        <v>0</v>
      </c>
      <c r="F110">
        <v>0</v>
      </c>
      <c r="G110" s="43">
        <v>0</v>
      </c>
    </row>
    <row r="111" spans="1:7" x14ac:dyDescent="0.25">
      <c r="A111" t="s">
        <v>15</v>
      </c>
      <c r="B111">
        <v>5</v>
      </c>
      <c r="C111" t="s">
        <v>67</v>
      </c>
      <c r="D111" t="s">
        <v>69</v>
      </c>
      <c r="E111">
        <v>0</v>
      </c>
      <c r="F111">
        <v>0</v>
      </c>
      <c r="G111" s="43">
        <v>0</v>
      </c>
    </row>
    <row r="112" spans="1:7" x14ac:dyDescent="0.25">
      <c r="A112" t="s">
        <v>15</v>
      </c>
      <c r="B112">
        <v>5</v>
      </c>
      <c r="C112" t="s">
        <v>67</v>
      </c>
      <c r="D112" t="s">
        <v>70</v>
      </c>
      <c r="E112">
        <v>0</v>
      </c>
      <c r="F112">
        <v>0</v>
      </c>
      <c r="G112" s="43">
        <v>0</v>
      </c>
    </row>
    <row r="113" spans="1:7" x14ac:dyDescent="0.25">
      <c r="A113" t="s">
        <v>15</v>
      </c>
      <c r="B113">
        <v>5</v>
      </c>
      <c r="C113" t="s">
        <v>71</v>
      </c>
      <c r="D113" t="s">
        <v>68</v>
      </c>
      <c r="E113">
        <v>0</v>
      </c>
      <c r="F113">
        <v>0</v>
      </c>
      <c r="G113" s="43">
        <v>0</v>
      </c>
    </row>
    <row r="114" spans="1:7" x14ac:dyDescent="0.25">
      <c r="A114" t="s">
        <v>15</v>
      </c>
      <c r="B114">
        <v>5</v>
      </c>
      <c r="C114" t="s">
        <v>71</v>
      </c>
      <c r="D114" t="s">
        <v>69</v>
      </c>
      <c r="E114">
        <v>0</v>
      </c>
      <c r="F114">
        <v>0</v>
      </c>
      <c r="G114" s="43">
        <v>0</v>
      </c>
    </row>
    <row r="115" spans="1:7" x14ac:dyDescent="0.25">
      <c r="A115" t="s">
        <v>15</v>
      </c>
      <c r="B115">
        <v>5</v>
      </c>
      <c r="C115" t="s">
        <v>71</v>
      </c>
      <c r="D115" t="s">
        <v>70</v>
      </c>
      <c r="E115">
        <v>0</v>
      </c>
      <c r="F115">
        <v>0</v>
      </c>
      <c r="G115" s="43">
        <v>0</v>
      </c>
    </row>
    <row r="116" spans="1:7" x14ac:dyDescent="0.25">
      <c r="A116" t="s">
        <v>15</v>
      </c>
      <c r="B116">
        <v>5</v>
      </c>
      <c r="C116" t="s">
        <v>72</v>
      </c>
      <c r="D116" t="s">
        <v>23</v>
      </c>
      <c r="E116">
        <v>0</v>
      </c>
      <c r="F116">
        <v>0</v>
      </c>
      <c r="G116" s="43">
        <v>0</v>
      </c>
    </row>
    <row r="117" spans="1:7" x14ac:dyDescent="0.25">
      <c r="A117" t="s">
        <v>15</v>
      </c>
      <c r="B117">
        <v>5</v>
      </c>
      <c r="C117" t="s">
        <v>73</v>
      </c>
      <c r="D117" t="s">
        <v>74</v>
      </c>
      <c r="E117">
        <v>0</v>
      </c>
      <c r="F117">
        <v>0</v>
      </c>
      <c r="G117" s="43">
        <v>0</v>
      </c>
    </row>
    <row r="118" spans="1:7" x14ac:dyDescent="0.25">
      <c r="A118" t="s">
        <v>15</v>
      </c>
      <c r="B118">
        <v>5</v>
      </c>
      <c r="C118" t="s">
        <v>73</v>
      </c>
      <c r="D118" t="s">
        <v>75</v>
      </c>
      <c r="E118">
        <v>0</v>
      </c>
      <c r="F118">
        <v>0</v>
      </c>
      <c r="G118" s="43">
        <v>0</v>
      </c>
    </row>
    <row r="119" spans="1:7" x14ac:dyDescent="0.25">
      <c r="A119" t="s">
        <v>76</v>
      </c>
      <c r="B119">
        <v>5</v>
      </c>
      <c r="C119" t="s">
        <v>67</v>
      </c>
      <c r="D119" t="s">
        <v>68</v>
      </c>
      <c r="E119">
        <v>48</v>
      </c>
      <c r="F119">
        <v>3223.7889999999998</v>
      </c>
      <c r="G119" s="43">
        <v>796100000</v>
      </c>
    </row>
    <row r="120" spans="1:7" x14ac:dyDescent="0.25">
      <c r="A120" t="s">
        <v>76</v>
      </c>
      <c r="B120">
        <v>5</v>
      </c>
      <c r="C120" t="s">
        <v>67</v>
      </c>
      <c r="D120" t="s">
        <v>69</v>
      </c>
      <c r="E120">
        <v>12</v>
      </c>
      <c r="F120">
        <v>812.72900000000004</v>
      </c>
      <c r="G120" s="43">
        <v>198750000</v>
      </c>
    </row>
    <row r="121" spans="1:7" x14ac:dyDescent="0.25">
      <c r="A121" t="s">
        <v>76</v>
      </c>
      <c r="B121">
        <v>5</v>
      </c>
      <c r="C121" t="s">
        <v>67</v>
      </c>
      <c r="D121" t="s">
        <v>70</v>
      </c>
      <c r="E121">
        <v>26</v>
      </c>
      <c r="F121">
        <v>1754.0409999999999</v>
      </c>
      <c r="G121" s="43">
        <v>429200000</v>
      </c>
    </row>
    <row r="122" spans="1:7" x14ac:dyDescent="0.25">
      <c r="A122" t="s">
        <v>76</v>
      </c>
      <c r="B122">
        <v>5</v>
      </c>
      <c r="C122" t="s">
        <v>71</v>
      </c>
      <c r="D122" t="s">
        <v>68</v>
      </c>
      <c r="E122">
        <v>22</v>
      </c>
      <c r="F122">
        <v>1487.0420000000001</v>
      </c>
      <c r="G122" s="43">
        <v>593910800</v>
      </c>
    </row>
    <row r="123" spans="1:7" x14ac:dyDescent="0.25">
      <c r="A123" t="s">
        <v>76</v>
      </c>
      <c r="B123">
        <v>5</v>
      </c>
      <c r="C123" t="s">
        <v>71</v>
      </c>
      <c r="D123" t="s">
        <v>69</v>
      </c>
      <c r="E123">
        <v>8</v>
      </c>
      <c r="F123">
        <v>591.07200000000012</v>
      </c>
      <c r="G123" s="43">
        <v>206000000</v>
      </c>
    </row>
    <row r="124" spans="1:7" x14ac:dyDescent="0.25">
      <c r="A124" t="s">
        <v>76</v>
      </c>
      <c r="B124">
        <v>5</v>
      </c>
      <c r="C124" t="s">
        <v>71</v>
      </c>
      <c r="D124" t="s">
        <v>70</v>
      </c>
      <c r="E124">
        <v>11</v>
      </c>
      <c r="F124">
        <v>823.61700000000008</v>
      </c>
      <c r="G124" s="43">
        <v>298000000</v>
      </c>
    </row>
    <row r="125" spans="1:7" x14ac:dyDescent="0.25">
      <c r="A125" t="s">
        <v>76</v>
      </c>
      <c r="B125">
        <v>5</v>
      </c>
      <c r="C125" t="s">
        <v>72</v>
      </c>
      <c r="D125" t="s">
        <v>23</v>
      </c>
      <c r="E125">
        <v>5</v>
      </c>
      <c r="F125">
        <v>50.82</v>
      </c>
      <c r="G125" s="43">
        <v>57625755</v>
      </c>
    </row>
    <row r="126" spans="1:7" x14ac:dyDescent="0.25">
      <c r="A126" t="s">
        <v>76</v>
      </c>
      <c r="B126">
        <v>5</v>
      </c>
      <c r="C126" t="s">
        <v>73</v>
      </c>
      <c r="D126" t="s">
        <v>74</v>
      </c>
      <c r="E126">
        <v>2</v>
      </c>
      <c r="F126">
        <v>133.703</v>
      </c>
      <c r="G126" s="43">
        <v>0</v>
      </c>
    </row>
    <row r="127" spans="1:7" x14ac:dyDescent="0.25">
      <c r="A127" t="s">
        <v>76</v>
      </c>
      <c r="B127">
        <v>5</v>
      </c>
      <c r="C127" t="s">
        <v>73</v>
      </c>
      <c r="D127" t="s">
        <v>75</v>
      </c>
      <c r="E127">
        <v>0</v>
      </c>
      <c r="F127">
        <v>0</v>
      </c>
      <c r="G127" s="43">
        <v>0</v>
      </c>
    </row>
    <row r="128" spans="1:7" x14ac:dyDescent="0.25">
      <c r="A128" t="s">
        <v>28</v>
      </c>
      <c r="B128">
        <v>6</v>
      </c>
      <c r="C128" t="s">
        <v>67</v>
      </c>
      <c r="D128" t="s">
        <v>68</v>
      </c>
      <c r="E128">
        <v>32</v>
      </c>
      <c r="F128">
        <v>2130.2279999999996</v>
      </c>
      <c r="G128" s="43">
        <v>489600000</v>
      </c>
    </row>
    <row r="129" spans="1:7" x14ac:dyDescent="0.25">
      <c r="A129" t="s">
        <v>28</v>
      </c>
      <c r="B129">
        <v>6</v>
      </c>
      <c r="C129" t="s">
        <v>67</v>
      </c>
      <c r="D129" t="s">
        <v>69</v>
      </c>
      <c r="E129">
        <v>25</v>
      </c>
      <c r="F129">
        <v>1694.3629999999998</v>
      </c>
      <c r="G129" s="43">
        <v>412500000</v>
      </c>
    </row>
    <row r="130" spans="1:7" x14ac:dyDescent="0.25">
      <c r="A130" t="s">
        <v>28</v>
      </c>
      <c r="B130">
        <v>6</v>
      </c>
      <c r="C130" t="s">
        <v>67</v>
      </c>
      <c r="D130" t="s">
        <v>70</v>
      </c>
      <c r="E130">
        <v>8</v>
      </c>
      <c r="F130">
        <v>538.495</v>
      </c>
      <c r="G130" s="43">
        <v>124000000</v>
      </c>
    </row>
    <row r="131" spans="1:7" x14ac:dyDescent="0.25">
      <c r="A131" t="s">
        <v>28</v>
      </c>
      <c r="B131">
        <v>6</v>
      </c>
      <c r="C131" t="s">
        <v>71</v>
      </c>
      <c r="D131" t="s">
        <v>68</v>
      </c>
      <c r="E131">
        <v>2</v>
      </c>
      <c r="F131">
        <v>135.6</v>
      </c>
      <c r="G131" s="43">
        <v>67000000</v>
      </c>
    </row>
    <row r="132" spans="1:7" x14ac:dyDescent="0.25">
      <c r="A132" t="s">
        <v>28</v>
      </c>
      <c r="B132">
        <v>6</v>
      </c>
      <c r="C132" t="s">
        <v>71</v>
      </c>
      <c r="D132" t="s">
        <v>69</v>
      </c>
      <c r="E132">
        <v>6</v>
      </c>
      <c r="F132">
        <v>454.846</v>
      </c>
      <c r="G132" s="43">
        <v>192000000</v>
      </c>
    </row>
    <row r="133" spans="1:7" x14ac:dyDescent="0.25">
      <c r="A133" t="s">
        <v>28</v>
      </c>
      <c r="B133">
        <v>6</v>
      </c>
      <c r="C133" t="s">
        <v>71</v>
      </c>
      <c r="D133" t="s">
        <v>70</v>
      </c>
      <c r="E133">
        <v>5</v>
      </c>
      <c r="F133">
        <v>388.87600000000003</v>
      </c>
      <c r="G133" s="43">
        <v>185000000</v>
      </c>
    </row>
    <row r="134" spans="1:7" x14ac:dyDescent="0.25">
      <c r="A134" t="s">
        <v>28</v>
      </c>
      <c r="B134">
        <v>6</v>
      </c>
      <c r="C134" t="s">
        <v>72</v>
      </c>
      <c r="D134" t="s">
        <v>23</v>
      </c>
      <c r="E134">
        <v>6</v>
      </c>
      <c r="F134">
        <v>12.66</v>
      </c>
      <c r="G134" s="43">
        <v>16366373</v>
      </c>
    </row>
    <row r="135" spans="1:7" x14ac:dyDescent="0.25">
      <c r="A135" t="s">
        <v>28</v>
      </c>
      <c r="B135">
        <v>6</v>
      </c>
      <c r="C135" t="s">
        <v>73</v>
      </c>
      <c r="D135" t="s">
        <v>74</v>
      </c>
      <c r="E135">
        <v>0</v>
      </c>
      <c r="F135">
        <v>0</v>
      </c>
      <c r="G135" s="43">
        <v>0</v>
      </c>
    </row>
    <row r="136" spans="1:7" x14ac:dyDescent="0.25">
      <c r="A136" t="s">
        <v>28</v>
      </c>
      <c r="B136">
        <v>6</v>
      </c>
      <c r="C136" t="s">
        <v>73</v>
      </c>
      <c r="D136" t="s">
        <v>75</v>
      </c>
      <c r="E136">
        <v>0</v>
      </c>
      <c r="F136">
        <v>0</v>
      </c>
      <c r="G136" s="43">
        <v>0</v>
      </c>
    </row>
    <row r="137" spans="1:7" x14ac:dyDescent="0.25">
      <c r="A137" t="s">
        <v>5</v>
      </c>
      <c r="B137">
        <v>6</v>
      </c>
      <c r="C137" t="s">
        <v>67</v>
      </c>
      <c r="D137" t="s">
        <v>68</v>
      </c>
      <c r="E137">
        <v>9</v>
      </c>
      <c r="F137">
        <v>609.19999999999993</v>
      </c>
      <c r="G137" s="43">
        <v>137700000</v>
      </c>
    </row>
    <row r="138" spans="1:7" x14ac:dyDescent="0.25">
      <c r="A138" t="s">
        <v>5</v>
      </c>
      <c r="B138">
        <v>6</v>
      </c>
      <c r="C138" t="s">
        <v>67</v>
      </c>
      <c r="D138" t="s">
        <v>69</v>
      </c>
      <c r="E138">
        <v>2</v>
      </c>
      <c r="F138">
        <v>135.6</v>
      </c>
      <c r="G138" s="43">
        <v>33500000</v>
      </c>
    </row>
    <row r="139" spans="1:7" x14ac:dyDescent="0.25">
      <c r="A139" t="s">
        <v>5</v>
      </c>
      <c r="B139">
        <v>6</v>
      </c>
      <c r="C139" t="s">
        <v>67</v>
      </c>
      <c r="D139" t="s">
        <v>70</v>
      </c>
      <c r="E139">
        <v>10</v>
      </c>
      <c r="F139">
        <v>674.34799999999996</v>
      </c>
      <c r="G139" s="43">
        <v>167000000</v>
      </c>
    </row>
    <row r="140" spans="1:7" x14ac:dyDescent="0.25">
      <c r="A140" t="s">
        <v>5</v>
      </c>
      <c r="B140">
        <v>6</v>
      </c>
      <c r="C140" t="s">
        <v>71</v>
      </c>
      <c r="D140" t="s">
        <v>68</v>
      </c>
      <c r="E140">
        <v>5</v>
      </c>
      <c r="F140">
        <v>390.56200000000013</v>
      </c>
      <c r="G140" s="43">
        <v>95000000</v>
      </c>
    </row>
    <row r="141" spans="1:7" x14ac:dyDescent="0.25">
      <c r="A141" t="s">
        <v>5</v>
      </c>
      <c r="B141">
        <v>6</v>
      </c>
      <c r="C141" t="s">
        <v>71</v>
      </c>
      <c r="D141" t="s">
        <v>69</v>
      </c>
      <c r="E141">
        <v>4</v>
      </c>
      <c r="F141">
        <v>307.81200000000001</v>
      </c>
      <c r="G141" s="43">
        <v>88000000</v>
      </c>
    </row>
    <row r="142" spans="1:7" x14ac:dyDescent="0.25">
      <c r="A142" t="s">
        <v>5</v>
      </c>
      <c r="B142">
        <v>6</v>
      </c>
      <c r="C142" t="s">
        <v>71</v>
      </c>
      <c r="D142" t="s">
        <v>70</v>
      </c>
      <c r="E142">
        <v>4</v>
      </c>
      <c r="F142">
        <v>308.03800000000001</v>
      </c>
      <c r="G142" s="43">
        <v>80000000</v>
      </c>
    </row>
    <row r="143" spans="1:7" x14ac:dyDescent="0.25">
      <c r="A143" t="s">
        <v>5</v>
      </c>
      <c r="B143">
        <v>6</v>
      </c>
      <c r="C143" t="s">
        <v>72</v>
      </c>
      <c r="D143" t="s">
        <v>23</v>
      </c>
      <c r="E143">
        <v>0</v>
      </c>
      <c r="F143">
        <v>0</v>
      </c>
      <c r="G143" s="43">
        <v>0</v>
      </c>
    </row>
    <row r="144" spans="1:7" x14ac:dyDescent="0.25">
      <c r="A144" t="s">
        <v>5</v>
      </c>
      <c r="B144">
        <v>6</v>
      </c>
      <c r="C144" t="s">
        <v>73</v>
      </c>
      <c r="D144" t="s">
        <v>74</v>
      </c>
      <c r="E144">
        <v>0</v>
      </c>
      <c r="F144">
        <v>0</v>
      </c>
      <c r="G144" s="43">
        <v>0</v>
      </c>
    </row>
    <row r="145" spans="1:7" x14ac:dyDescent="0.25">
      <c r="A145" t="s">
        <v>5</v>
      </c>
      <c r="B145">
        <v>6</v>
      </c>
      <c r="C145" t="s">
        <v>73</v>
      </c>
      <c r="D145" t="s">
        <v>75</v>
      </c>
      <c r="E145">
        <v>0</v>
      </c>
      <c r="F145">
        <v>0</v>
      </c>
      <c r="G145" s="43">
        <v>0</v>
      </c>
    </row>
    <row r="146" spans="1:7" x14ac:dyDescent="0.25">
      <c r="A146" t="s">
        <v>12</v>
      </c>
      <c r="B146">
        <v>6</v>
      </c>
      <c r="C146" t="s">
        <v>67</v>
      </c>
      <c r="D146" t="s">
        <v>68</v>
      </c>
      <c r="E146">
        <v>0</v>
      </c>
      <c r="F146">
        <v>0</v>
      </c>
      <c r="G146" s="43">
        <v>0</v>
      </c>
    </row>
    <row r="147" spans="1:7" x14ac:dyDescent="0.25">
      <c r="A147" t="s">
        <v>12</v>
      </c>
      <c r="B147">
        <v>6</v>
      </c>
      <c r="C147" t="s">
        <v>67</v>
      </c>
      <c r="D147" t="s">
        <v>69</v>
      </c>
      <c r="E147">
        <v>0</v>
      </c>
      <c r="F147">
        <v>0</v>
      </c>
      <c r="G147" s="43">
        <v>0</v>
      </c>
    </row>
    <row r="148" spans="1:7" x14ac:dyDescent="0.25">
      <c r="A148" t="s">
        <v>12</v>
      </c>
      <c r="B148">
        <v>6</v>
      </c>
      <c r="C148" t="s">
        <v>67</v>
      </c>
      <c r="D148" t="s">
        <v>70</v>
      </c>
      <c r="E148">
        <v>0</v>
      </c>
      <c r="F148">
        <v>0</v>
      </c>
      <c r="G148" s="43">
        <v>0</v>
      </c>
    </row>
    <row r="149" spans="1:7" x14ac:dyDescent="0.25">
      <c r="A149" t="s">
        <v>12</v>
      </c>
      <c r="B149">
        <v>6</v>
      </c>
      <c r="C149" t="s">
        <v>71</v>
      </c>
      <c r="D149" t="s">
        <v>68</v>
      </c>
      <c r="E149">
        <v>3</v>
      </c>
      <c r="F149">
        <v>192.84</v>
      </c>
      <c r="G149" s="43">
        <v>10955400</v>
      </c>
    </row>
    <row r="150" spans="1:7" x14ac:dyDescent="0.25">
      <c r="A150" t="s">
        <v>12</v>
      </c>
      <c r="B150">
        <v>6</v>
      </c>
      <c r="C150" t="s">
        <v>71</v>
      </c>
      <c r="D150" t="s">
        <v>69</v>
      </c>
      <c r="E150">
        <v>0</v>
      </c>
      <c r="F150">
        <v>0</v>
      </c>
      <c r="G150" s="43">
        <v>0</v>
      </c>
    </row>
    <row r="151" spans="1:7" x14ac:dyDescent="0.25">
      <c r="A151" t="s">
        <v>12</v>
      </c>
      <c r="B151">
        <v>6</v>
      </c>
      <c r="C151" t="s">
        <v>71</v>
      </c>
      <c r="D151" t="s">
        <v>70</v>
      </c>
      <c r="E151">
        <v>0</v>
      </c>
      <c r="F151">
        <v>0</v>
      </c>
      <c r="G151" s="43">
        <v>0</v>
      </c>
    </row>
    <row r="152" spans="1:7" x14ac:dyDescent="0.25">
      <c r="A152" t="s">
        <v>12</v>
      </c>
      <c r="B152">
        <v>6</v>
      </c>
      <c r="C152" t="s">
        <v>72</v>
      </c>
      <c r="D152" t="s">
        <v>23</v>
      </c>
      <c r="E152">
        <v>0</v>
      </c>
      <c r="F152">
        <v>0</v>
      </c>
      <c r="G152" s="43">
        <v>0</v>
      </c>
    </row>
    <row r="153" spans="1:7" x14ac:dyDescent="0.25">
      <c r="A153" t="s">
        <v>12</v>
      </c>
      <c r="B153">
        <v>6</v>
      </c>
      <c r="C153" t="s">
        <v>73</v>
      </c>
      <c r="D153" t="s">
        <v>74</v>
      </c>
      <c r="E153">
        <v>0</v>
      </c>
      <c r="F153">
        <v>0</v>
      </c>
      <c r="G153" s="43">
        <v>0</v>
      </c>
    </row>
    <row r="154" spans="1:7" x14ac:dyDescent="0.25">
      <c r="A154" t="s">
        <v>12</v>
      </c>
      <c r="B154">
        <v>6</v>
      </c>
      <c r="C154" t="s">
        <v>73</v>
      </c>
      <c r="D154" t="s">
        <v>75</v>
      </c>
      <c r="E154">
        <v>0</v>
      </c>
      <c r="F154">
        <v>0</v>
      </c>
      <c r="G154" s="43">
        <v>0</v>
      </c>
    </row>
    <row r="155" spans="1:7" x14ac:dyDescent="0.25">
      <c r="A155" t="s">
        <v>19</v>
      </c>
      <c r="B155">
        <v>6</v>
      </c>
      <c r="C155" t="s">
        <v>67</v>
      </c>
      <c r="D155" t="s">
        <v>68</v>
      </c>
      <c r="E155">
        <v>3</v>
      </c>
      <c r="F155">
        <v>203.76000000000002</v>
      </c>
      <c r="G155" s="43">
        <v>57900000</v>
      </c>
    </row>
    <row r="156" spans="1:7" x14ac:dyDescent="0.25">
      <c r="A156" t="s">
        <v>19</v>
      </c>
      <c r="B156">
        <v>6</v>
      </c>
      <c r="C156" t="s">
        <v>67</v>
      </c>
      <c r="D156" t="s">
        <v>69</v>
      </c>
      <c r="E156">
        <v>2</v>
      </c>
      <c r="F156">
        <v>135.048</v>
      </c>
      <c r="G156" s="43">
        <v>41500000</v>
      </c>
    </row>
    <row r="157" spans="1:7" x14ac:dyDescent="0.25">
      <c r="A157" t="s">
        <v>19</v>
      </c>
      <c r="B157">
        <v>6</v>
      </c>
      <c r="C157" t="s">
        <v>67</v>
      </c>
      <c r="D157" t="s">
        <v>70</v>
      </c>
      <c r="E157">
        <v>4</v>
      </c>
      <c r="F157">
        <v>261.68</v>
      </c>
      <c r="G157" s="43">
        <v>77200000</v>
      </c>
    </row>
    <row r="158" spans="1:7" x14ac:dyDescent="0.25">
      <c r="A158" t="s">
        <v>19</v>
      </c>
      <c r="B158">
        <v>6</v>
      </c>
      <c r="C158" t="s">
        <v>71</v>
      </c>
      <c r="D158" t="s">
        <v>68</v>
      </c>
      <c r="E158">
        <v>0</v>
      </c>
      <c r="F158">
        <v>0</v>
      </c>
      <c r="G158" s="43">
        <v>0</v>
      </c>
    </row>
    <row r="159" spans="1:7" x14ac:dyDescent="0.25">
      <c r="A159" t="s">
        <v>19</v>
      </c>
      <c r="B159">
        <v>6</v>
      </c>
      <c r="C159" t="s">
        <v>71</v>
      </c>
      <c r="D159" t="s">
        <v>69</v>
      </c>
      <c r="E159">
        <v>0</v>
      </c>
      <c r="F159">
        <v>0</v>
      </c>
      <c r="G159" s="43">
        <v>0</v>
      </c>
    </row>
    <row r="160" spans="1:7" x14ac:dyDescent="0.25">
      <c r="A160" t="s">
        <v>19</v>
      </c>
      <c r="B160">
        <v>6</v>
      </c>
      <c r="C160" t="s">
        <v>71</v>
      </c>
      <c r="D160" t="s">
        <v>70</v>
      </c>
      <c r="E160">
        <v>0</v>
      </c>
      <c r="F160">
        <v>0</v>
      </c>
      <c r="G160" s="43">
        <v>0</v>
      </c>
    </row>
    <row r="161" spans="1:7" x14ac:dyDescent="0.25">
      <c r="A161" t="s">
        <v>19</v>
      </c>
      <c r="B161">
        <v>6</v>
      </c>
      <c r="C161" t="s">
        <v>72</v>
      </c>
      <c r="D161" t="s">
        <v>23</v>
      </c>
      <c r="E161">
        <v>0</v>
      </c>
      <c r="F161">
        <v>0</v>
      </c>
      <c r="G161" s="43">
        <v>0</v>
      </c>
    </row>
    <row r="162" spans="1:7" x14ac:dyDescent="0.25">
      <c r="A162" t="s">
        <v>19</v>
      </c>
      <c r="B162">
        <v>6</v>
      </c>
      <c r="C162" t="s">
        <v>73</v>
      </c>
      <c r="D162" t="s">
        <v>74</v>
      </c>
      <c r="E162">
        <v>0</v>
      </c>
      <c r="F162">
        <v>0</v>
      </c>
      <c r="G162" s="43">
        <v>0</v>
      </c>
    </row>
    <row r="163" spans="1:7" x14ac:dyDescent="0.25">
      <c r="A163" t="s">
        <v>19</v>
      </c>
      <c r="B163">
        <v>6</v>
      </c>
      <c r="C163" t="s">
        <v>73</v>
      </c>
      <c r="D163" t="s">
        <v>75</v>
      </c>
      <c r="E163">
        <v>0</v>
      </c>
      <c r="F163">
        <v>0</v>
      </c>
      <c r="G163" s="43">
        <v>0</v>
      </c>
    </row>
    <row r="164" spans="1:7" x14ac:dyDescent="0.25">
      <c r="A164" t="s">
        <v>22</v>
      </c>
      <c r="B164">
        <v>6</v>
      </c>
      <c r="C164" t="s">
        <v>67</v>
      </c>
      <c r="D164" t="s">
        <v>68</v>
      </c>
      <c r="E164">
        <v>0</v>
      </c>
      <c r="F164">
        <v>0</v>
      </c>
      <c r="G164" s="43">
        <v>0</v>
      </c>
    </row>
    <row r="165" spans="1:7" x14ac:dyDescent="0.25">
      <c r="A165" t="s">
        <v>22</v>
      </c>
      <c r="B165">
        <v>6</v>
      </c>
      <c r="C165" t="s">
        <v>67</v>
      </c>
      <c r="D165" t="s">
        <v>69</v>
      </c>
      <c r="E165">
        <v>0</v>
      </c>
      <c r="F165">
        <v>0</v>
      </c>
      <c r="G165" s="43">
        <v>0</v>
      </c>
    </row>
    <row r="166" spans="1:7" x14ac:dyDescent="0.25">
      <c r="A166" t="s">
        <v>22</v>
      </c>
      <c r="B166">
        <v>6</v>
      </c>
      <c r="C166" t="s">
        <v>67</v>
      </c>
      <c r="D166" t="s">
        <v>70</v>
      </c>
      <c r="E166">
        <v>0</v>
      </c>
      <c r="F166">
        <v>0</v>
      </c>
      <c r="G166" s="43">
        <v>0</v>
      </c>
    </row>
    <row r="167" spans="1:7" x14ac:dyDescent="0.25">
      <c r="A167" t="s">
        <v>22</v>
      </c>
      <c r="B167">
        <v>6</v>
      </c>
      <c r="C167" t="s">
        <v>71</v>
      </c>
      <c r="D167" t="s">
        <v>68</v>
      </c>
      <c r="E167">
        <v>0</v>
      </c>
      <c r="F167">
        <v>0</v>
      </c>
      <c r="G167" s="43">
        <v>0</v>
      </c>
    </row>
    <row r="168" spans="1:7" x14ac:dyDescent="0.25">
      <c r="A168" t="s">
        <v>22</v>
      </c>
      <c r="B168">
        <v>6</v>
      </c>
      <c r="C168" t="s">
        <v>71</v>
      </c>
      <c r="D168" t="s">
        <v>69</v>
      </c>
      <c r="E168">
        <v>0</v>
      </c>
      <c r="F168">
        <v>0</v>
      </c>
      <c r="G168" s="43">
        <v>0</v>
      </c>
    </row>
    <row r="169" spans="1:7" x14ac:dyDescent="0.25">
      <c r="A169" t="s">
        <v>22</v>
      </c>
      <c r="B169">
        <v>6</v>
      </c>
      <c r="C169" t="s">
        <v>71</v>
      </c>
      <c r="D169" t="s">
        <v>70</v>
      </c>
      <c r="E169">
        <v>0</v>
      </c>
      <c r="F169">
        <v>0</v>
      </c>
      <c r="G169" s="43">
        <v>0</v>
      </c>
    </row>
    <row r="170" spans="1:7" x14ac:dyDescent="0.25">
      <c r="A170" t="s">
        <v>22</v>
      </c>
      <c r="B170">
        <v>6</v>
      </c>
      <c r="C170" t="s">
        <v>72</v>
      </c>
      <c r="D170" t="s">
        <v>23</v>
      </c>
      <c r="E170">
        <v>4</v>
      </c>
      <c r="F170">
        <v>8.6199999999999992</v>
      </c>
      <c r="G170" s="43">
        <v>4253543</v>
      </c>
    </row>
    <row r="171" spans="1:7" x14ac:dyDescent="0.25">
      <c r="A171" t="s">
        <v>22</v>
      </c>
      <c r="B171">
        <v>6</v>
      </c>
      <c r="C171" t="s">
        <v>73</v>
      </c>
      <c r="D171" t="s">
        <v>74</v>
      </c>
      <c r="E171">
        <v>0</v>
      </c>
      <c r="F171">
        <v>0</v>
      </c>
      <c r="G171" s="43">
        <v>0</v>
      </c>
    </row>
    <row r="172" spans="1:7" x14ac:dyDescent="0.25">
      <c r="A172" t="s">
        <v>22</v>
      </c>
      <c r="B172">
        <v>6</v>
      </c>
      <c r="C172" t="s">
        <v>73</v>
      </c>
      <c r="D172" t="s">
        <v>75</v>
      </c>
      <c r="E172">
        <v>0</v>
      </c>
      <c r="F172">
        <v>0</v>
      </c>
      <c r="G172" s="43">
        <v>0</v>
      </c>
    </row>
    <row r="173" spans="1:7" x14ac:dyDescent="0.25">
      <c r="A173" t="s">
        <v>15</v>
      </c>
      <c r="B173">
        <v>6</v>
      </c>
      <c r="C173" t="s">
        <v>67</v>
      </c>
      <c r="D173" t="s">
        <v>68</v>
      </c>
      <c r="E173">
        <v>0</v>
      </c>
      <c r="F173">
        <v>0</v>
      </c>
      <c r="G173" s="43">
        <v>0</v>
      </c>
    </row>
    <row r="174" spans="1:7" x14ac:dyDescent="0.25">
      <c r="A174" t="s">
        <v>15</v>
      </c>
      <c r="B174">
        <v>6</v>
      </c>
      <c r="C174" t="s">
        <v>67</v>
      </c>
      <c r="D174" t="s">
        <v>69</v>
      </c>
      <c r="E174">
        <v>0</v>
      </c>
      <c r="F174">
        <v>0</v>
      </c>
      <c r="G174" s="43">
        <v>0</v>
      </c>
    </row>
    <row r="175" spans="1:7" x14ac:dyDescent="0.25">
      <c r="A175" t="s">
        <v>15</v>
      </c>
      <c r="B175">
        <v>6</v>
      </c>
      <c r="C175" t="s">
        <v>67</v>
      </c>
      <c r="D175" t="s">
        <v>70</v>
      </c>
      <c r="E175">
        <v>0</v>
      </c>
      <c r="F175">
        <v>0</v>
      </c>
      <c r="G175" s="43">
        <v>0</v>
      </c>
    </row>
    <row r="176" spans="1:7" x14ac:dyDescent="0.25">
      <c r="A176" t="s">
        <v>15</v>
      </c>
      <c r="B176">
        <v>6</v>
      </c>
      <c r="C176" t="s">
        <v>71</v>
      </c>
      <c r="D176" t="s">
        <v>68</v>
      </c>
      <c r="E176">
        <v>0</v>
      </c>
      <c r="F176">
        <v>0</v>
      </c>
      <c r="G176" s="43">
        <v>0</v>
      </c>
    </row>
    <row r="177" spans="1:7" x14ac:dyDescent="0.25">
      <c r="A177" t="s">
        <v>15</v>
      </c>
      <c r="B177">
        <v>6</v>
      </c>
      <c r="C177" t="s">
        <v>71</v>
      </c>
      <c r="D177" t="s">
        <v>69</v>
      </c>
      <c r="E177">
        <v>0</v>
      </c>
      <c r="F177">
        <v>0</v>
      </c>
      <c r="G177" s="43">
        <v>0</v>
      </c>
    </row>
    <row r="178" spans="1:7" x14ac:dyDescent="0.25">
      <c r="A178" t="s">
        <v>15</v>
      </c>
      <c r="B178">
        <v>6</v>
      </c>
      <c r="C178" t="s">
        <v>71</v>
      </c>
      <c r="D178" t="s">
        <v>70</v>
      </c>
      <c r="E178">
        <v>0</v>
      </c>
      <c r="F178">
        <v>0</v>
      </c>
      <c r="G178" s="43">
        <v>0</v>
      </c>
    </row>
    <row r="179" spans="1:7" x14ac:dyDescent="0.25">
      <c r="A179" t="s">
        <v>15</v>
      </c>
      <c r="B179">
        <v>6</v>
      </c>
      <c r="C179" t="s">
        <v>72</v>
      </c>
      <c r="D179" t="s">
        <v>23</v>
      </c>
      <c r="E179">
        <v>0</v>
      </c>
      <c r="F179">
        <v>0</v>
      </c>
      <c r="G179" s="43">
        <v>0</v>
      </c>
    </row>
    <row r="180" spans="1:7" x14ac:dyDescent="0.25">
      <c r="A180" t="s">
        <v>15</v>
      </c>
      <c r="B180">
        <v>6</v>
      </c>
      <c r="C180" t="s">
        <v>73</v>
      </c>
      <c r="D180" t="s">
        <v>74</v>
      </c>
      <c r="E180">
        <v>0</v>
      </c>
      <c r="F180">
        <v>0</v>
      </c>
      <c r="G180" s="43">
        <v>0</v>
      </c>
    </row>
    <row r="181" spans="1:7" x14ac:dyDescent="0.25">
      <c r="A181" t="s">
        <v>15</v>
      </c>
      <c r="B181">
        <v>6</v>
      </c>
      <c r="C181" t="s">
        <v>73</v>
      </c>
      <c r="D181" t="s">
        <v>75</v>
      </c>
      <c r="E181">
        <v>0</v>
      </c>
      <c r="F181">
        <v>0</v>
      </c>
      <c r="G181" s="43">
        <v>0</v>
      </c>
    </row>
    <row r="182" spans="1:7" x14ac:dyDescent="0.25">
      <c r="A182" t="s">
        <v>76</v>
      </c>
      <c r="B182">
        <v>6</v>
      </c>
      <c r="C182" t="s">
        <v>67</v>
      </c>
      <c r="D182" t="s">
        <v>68</v>
      </c>
      <c r="E182">
        <v>44</v>
      </c>
      <c r="F182">
        <v>2943.1879999999996</v>
      </c>
      <c r="G182" s="43">
        <v>685200000</v>
      </c>
    </row>
    <row r="183" spans="1:7" x14ac:dyDescent="0.25">
      <c r="A183" t="s">
        <v>76</v>
      </c>
      <c r="B183">
        <v>6</v>
      </c>
      <c r="C183" t="s">
        <v>67</v>
      </c>
      <c r="D183" t="s">
        <v>69</v>
      </c>
      <c r="E183">
        <v>29</v>
      </c>
      <c r="F183">
        <v>1965.011</v>
      </c>
      <c r="G183" s="43">
        <v>487500000</v>
      </c>
    </row>
    <row r="184" spans="1:7" x14ac:dyDescent="0.25">
      <c r="A184" t="s">
        <v>76</v>
      </c>
      <c r="B184">
        <v>6</v>
      </c>
      <c r="C184" t="s">
        <v>67</v>
      </c>
      <c r="D184" t="s">
        <v>70</v>
      </c>
      <c r="E184">
        <v>22</v>
      </c>
      <c r="F184">
        <v>1474.5229999999999</v>
      </c>
      <c r="G184" s="43">
        <v>368200000</v>
      </c>
    </row>
    <row r="185" spans="1:7" x14ac:dyDescent="0.25">
      <c r="A185" t="s">
        <v>76</v>
      </c>
      <c r="B185">
        <v>6</v>
      </c>
      <c r="C185" t="s">
        <v>71</v>
      </c>
      <c r="D185" t="s">
        <v>68</v>
      </c>
      <c r="E185">
        <v>10</v>
      </c>
      <c r="F185">
        <v>719.00200000000018</v>
      </c>
      <c r="G185" s="43">
        <v>172955400</v>
      </c>
    </row>
    <row r="186" spans="1:7" x14ac:dyDescent="0.25">
      <c r="A186" t="s">
        <v>76</v>
      </c>
      <c r="B186">
        <v>6</v>
      </c>
      <c r="C186" t="s">
        <v>71</v>
      </c>
      <c r="D186" t="s">
        <v>69</v>
      </c>
      <c r="E186">
        <v>10</v>
      </c>
      <c r="F186">
        <v>762.65800000000002</v>
      </c>
      <c r="G186" s="43">
        <v>280000000</v>
      </c>
    </row>
    <row r="187" spans="1:7" x14ac:dyDescent="0.25">
      <c r="A187" t="s">
        <v>76</v>
      </c>
      <c r="B187">
        <v>6</v>
      </c>
      <c r="C187" t="s">
        <v>71</v>
      </c>
      <c r="D187" t="s">
        <v>70</v>
      </c>
      <c r="E187">
        <v>9</v>
      </c>
      <c r="F187">
        <v>696.91399999999999</v>
      </c>
      <c r="G187" s="43">
        <v>265000000</v>
      </c>
    </row>
    <row r="188" spans="1:7" x14ac:dyDescent="0.25">
      <c r="A188" t="s">
        <v>76</v>
      </c>
      <c r="B188">
        <v>6</v>
      </c>
      <c r="C188" t="s">
        <v>72</v>
      </c>
      <c r="D188" t="s">
        <v>23</v>
      </c>
      <c r="E188">
        <v>10</v>
      </c>
      <c r="F188">
        <v>21.28</v>
      </c>
      <c r="G188" s="43">
        <v>20619916</v>
      </c>
    </row>
    <row r="189" spans="1:7" x14ac:dyDescent="0.25">
      <c r="A189" t="s">
        <v>76</v>
      </c>
      <c r="B189">
        <v>6</v>
      </c>
      <c r="C189" t="s">
        <v>73</v>
      </c>
      <c r="D189" t="s">
        <v>74</v>
      </c>
      <c r="E189">
        <v>0</v>
      </c>
      <c r="F189">
        <v>0</v>
      </c>
      <c r="G189" s="43">
        <v>0</v>
      </c>
    </row>
    <row r="190" spans="1:7" x14ac:dyDescent="0.25">
      <c r="A190" t="s">
        <v>76</v>
      </c>
      <c r="B190">
        <v>6</v>
      </c>
      <c r="C190" t="s">
        <v>73</v>
      </c>
      <c r="D190" t="s">
        <v>75</v>
      </c>
      <c r="E190">
        <v>0</v>
      </c>
      <c r="F190">
        <v>0</v>
      </c>
      <c r="G190" s="43">
        <v>0</v>
      </c>
    </row>
    <row r="191" spans="1:7" x14ac:dyDescent="0.25">
      <c r="A191" t="s">
        <v>28</v>
      </c>
      <c r="B191">
        <v>7</v>
      </c>
      <c r="C191" t="s">
        <v>67</v>
      </c>
      <c r="D191" t="s">
        <v>68</v>
      </c>
      <c r="E191">
        <v>13</v>
      </c>
      <c r="F191">
        <v>870.56099999999992</v>
      </c>
      <c r="G191" s="43">
        <v>198900000</v>
      </c>
    </row>
    <row r="192" spans="1:7" x14ac:dyDescent="0.25">
      <c r="A192" t="s">
        <v>28</v>
      </c>
      <c r="B192">
        <v>7</v>
      </c>
      <c r="C192" t="s">
        <v>67</v>
      </c>
      <c r="D192" t="s">
        <v>69</v>
      </c>
      <c r="E192">
        <v>11</v>
      </c>
      <c r="F192">
        <v>742.41499999999996</v>
      </c>
      <c r="G192" s="43">
        <v>181500000</v>
      </c>
    </row>
    <row r="193" spans="1:7" x14ac:dyDescent="0.25">
      <c r="A193" t="s">
        <v>28</v>
      </c>
      <c r="B193">
        <v>7</v>
      </c>
      <c r="C193" t="s">
        <v>67</v>
      </c>
      <c r="D193" t="s">
        <v>70</v>
      </c>
      <c r="E193">
        <v>13</v>
      </c>
      <c r="F193">
        <v>870.83099999999979</v>
      </c>
      <c r="G193" s="43">
        <v>201500000</v>
      </c>
    </row>
    <row r="194" spans="1:7" x14ac:dyDescent="0.25">
      <c r="A194" t="s">
        <v>28</v>
      </c>
      <c r="B194">
        <v>7</v>
      </c>
      <c r="C194" t="s">
        <v>71</v>
      </c>
      <c r="D194" t="s">
        <v>68</v>
      </c>
      <c r="E194">
        <v>0</v>
      </c>
      <c r="F194">
        <v>0</v>
      </c>
      <c r="G194" s="43">
        <v>0</v>
      </c>
    </row>
    <row r="195" spans="1:7" x14ac:dyDescent="0.25">
      <c r="A195" t="s">
        <v>28</v>
      </c>
      <c r="B195">
        <v>7</v>
      </c>
      <c r="C195" t="s">
        <v>71</v>
      </c>
      <c r="D195" t="s">
        <v>69</v>
      </c>
      <c r="E195">
        <v>0</v>
      </c>
      <c r="F195">
        <v>0</v>
      </c>
      <c r="G195" s="43">
        <v>0</v>
      </c>
    </row>
    <row r="196" spans="1:7" x14ac:dyDescent="0.25">
      <c r="A196" t="s">
        <v>28</v>
      </c>
      <c r="B196">
        <v>7</v>
      </c>
      <c r="C196" t="s">
        <v>71</v>
      </c>
      <c r="D196" t="s">
        <v>70</v>
      </c>
      <c r="E196">
        <v>0</v>
      </c>
      <c r="F196">
        <v>0</v>
      </c>
      <c r="G196" s="43">
        <v>0</v>
      </c>
    </row>
    <row r="197" spans="1:7" x14ac:dyDescent="0.25">
      <c r="A197" t="s">
        <v>28</v>
      </c>
      <c r="B197">
        <v>7</v>
      </c>
      <c r="C197" t="s">
        <v>72</v>
      </c>
      <c r="D197" t="s">
        <v>23</v>
      </c>
      <c r="E197">
        <v>5</v>
      </c>
      <c r="F197">
        <v>8.34</v>
      </c>
      <c r="G197" s="43">
        <v>17514688</v>
      </c>
    </row>
    <row r="198" spans="1:7" x14ac:dyDescent="0.25">
      <c r="A198" t="s">
        <v>28</v>
      </c>
      <c r="B198">
        <v>7</v>
      </c>
      <c r="C198" t="s">
        <v>73</v>
      </c>
      <c r="D198" t="s">
        <v>74</v>
      </c>
      <c r="E198">
        <v>0</v>
      </c>
      <c r="F198">
        <v>0</v>
      </c>
      <c r="G198" s="43">
        <v>0</v>
      </c>
    </row>
    <row r="199" spans="1:7" x14ac:dyDescent="0.25">
      <c r="A199" t="s">
        <v>28</v>
      </c>
      <c r="B199">
        <v>7</v>
      </c>
      <c r="C199" t="s">
        <v>73</v>
      </c>
      <c r="D199" t="s">
        <v>75</v>
      </c>
      <c r="E199">
        <v>0</v>
      </c>
      <c r="F199">
        <v>0</v>
      </c>
      <c r="G199" s="43">
        <v>0</v>
      </c>
    </row>
    <row r="200" spans="1:7" x14ac:dyDescent="0.25">
      <c r="A200" t="s">
        <v>5</v>
      </c>
      <c r="B200">
        <v>7</v>
      </c>
      <c r="C200" t="s">
        <v>67</v>
      </c>
      <c r="D200" t="s">
        <v>68</v>
      </c>
      <c r="E200">
        <v>3</v>
      </c>
      <c r="F200">
        <v>203.07</v>
      </c>
      <c r="G200" s="43">
        <v>45900000</v>
      </c>
    </row>
    <row r="201" spans="1:7" x14ac:dyDescent="0.25">
      <c r="A201" t="s">
        <v>5</v>
      </c>
      <c r="B201">
        <v>7</v>
      </c>
      <c r="C201" t="s">
        <v>67</v>
      </c>
      <c r="D201" t="s">
        <v>69</v>
      </c>
      <c r="E201">
        <v>3</v>
      </c>
      <c r="F201">
        <v>203.55</v>
      </c>
      <c r="G201" s="43">
        <v>50250000</v>
      </c>
    </row>
    <row r="202" spans="1:7" x14ac:dyDescent="0.25">
      <c r="A202" t="s">
        <v>5</v>
      </c>
      <c r="B202">
        <v>7</v>
      </c>
      <c r="C202" t="s">
        <v>67</v>
      </c>
      <c r="D202" t="s">
        <v>70</v>
      </c>
      <c r="E202">
        <v>3</v>
      </c>
      <c r="F202">
        <v>203.95100000000002</v>
      </c>
      <c r="G202" s="43">
        <v>50100000</v>
      </c>
    </row>
    <row r="203" spans="1:7" x14ac:dyDescent="0.25">
      <c r="A203" t="s">
        <v>5</v>
      </c>
      <c r="B203">
        <v>7</v>
      </c>
      <c r="C203" t="s">
        <v>71</v>
      </c>
      <c r="D203" t="s">
        <v>68</v>
      </c>
      <c r="E203">
        <v>2</v>
      </c>
      <c r="F203">
        <v>152.63200000000003</v>
      </c>
      <c r="G203" s="43">
        <v>38000000</v>
      </c>
    </row>
    <row r="204" spans="1:7" x14ac:dyDescent="0.25">
      <c r="A204" t="s">
        <v>5</v>
      </c>
      <c r="B204">
        <v>7</v>
      </c>
      <c r="C204" t="s">
        <v>71</v>
      </c>
      <c r="D204" t="s">
        <v>69</v>
      </c>
      <c r="E204">
        <v>0</v>
      </c>
      <c r="F204">
        <v>0</v>
      </c>
      <c r="G204" s="43">
        <v>0</v>
      </c>
    </row>
    <row r="205" spans="1:7" x14ac:dyDescent="0.25">
      <c r="A205" t="s">
        <v>5</v>
      </c>
      <c r="B205">
        <v>7</v>
      </c>
      <c r="C205" t="s">
        <v>71</v>
      </c>
      <c r="D205" t="s">
        <v>70</v>
      </c>
      <c r="E205">
        <v>0</v>
      </c>
      <c r="F205">
        <v>0</v>
      </c>
      <c r="G205" s="43">
        <v>0</v>
      </c>
    </row>
    <row r="206" spans="1:7" x14ac:dyDescent="0.25">
      <c r="A206" t="s">
        <v>5</v>
      </c>
      <c r="B206">
        <v>7</v>
      </c>
      <c r="C206" t="s">
        <v>72</v>
      </c>
      <c r="D206" t="s">
        <v>23</v>
      </c>
      <c r="E206">
        <v>0</v>
      </c>
      <c r="F206">
        <v>0</v>
      </c>
      <c r="G206" s="43">
        <v>0</v>
      </c>
    </row>
    <row r="207" spans="1:7" x14ac:dyDescent="0.25">
      <c r="A207" t="s">
        <v>5</v>
      </c>
      <c r="B207">
        <v>7</v>
      </c>
      <c r="C207" t="s">
        <v>73</v>
      </c>
      <c r="D207" t="s">
        <v>74</v>
      </c>
      <c r="E207">
        <v>0</v>
      </c>
      <c r="F207">
        <v>0</v>
      </c>
      <c r="G207" s="43">
        <v>0</v>
      </c>
    </row>
    <row r="208" spans="1:7" x14ac:dyDescent="0.25">
      <c r="A208" t="s">
        <v>5</v>
      </c>
      <c r="B208">
        <v>7</v>
      </c>
      <c r="C208" t="s">
        <v>73</v>
      </c>
      <c r="D208" t="s">
        <v>75</v>
      </c>
      <c r="E208">
        <v>0</v>
      </c>
      <c r="F208">
        <v>0</v>
      </c>
      <c r="G208" s="43">
        <v>0</v>
      </c>
    </row>
    <row r="209" spans="1:7" x14ac:dyDescent="0.25">
      <c r="A209" t="s">
        <v>12</v>
      </c>
      <c r="B209">
        <v>7</v>
      </c>
      <c r="C209" t="s">
        <v>67</v>
      </c>
      <c r="D209" t="s">
        <v>68</v>
      </c>
      <c r="E209">
        <v>0</v>
      </c>
      <c r="F209">
        <v>0</v>
      </c>
      <c r="G209" s="43">
        <v>0</v>
      </c>
    </row>
    <row r="210" spans="1:7" x14ac:dyDescent="0.25">
      <c r="A210" t="s">
        <v>12</v>
      </c>
      <c r="B210">
        <v>7</v>
      </c>
      <c r="C210" t="s">
        <v>67</v>
      </c>
      <c r="D210" t="s">
        <v>69</v>
      </c>
      <c r="E210">
        <v>0</v>
      </c>
      <c r="F210">
        <v>0</v>
      </c>
      <c r="G210" s="43">
        <v>0</v>
      </c>
    </row>
    <row r="211" spans="1:7" x14ac:dyDescent="0.25">
      <c r="A211" t="s">
        <v>12</v>
      </c>
      <c r="B211">
        <v>7</v>
      </c>
      <c r="C211" t="s">
        <v>67</v>
      </c>
      <c r="D211" t="s">
        <v>70</v>
      </c>
      <c r="E211">
        <v>0</v>
      </c>
      <c r="F211">
        <v>0</v>
      </c>
      <c r="G211" s="43">
        <v>0</v>
      </c>
    </row>
    <row r="212" spans="1:7" x14ac:dyDescent="0.25">
      <c r="A212" t="s">
        <v>12</v>
      </c>
      <c r="B212">
        <v>7</v>
      </c>
      <c r="C212" t="s">
        <v>71</v>
      </c>
      <c r="D212" t="s">
        <v>68</v>
      </c>
      <c r="E212">
        <v>1</v>
      </c>
      <c r="F212">
        <v>63.752999999999993</v>
      </c>
      <c r="G212" s="43">
        <v>3651800</v>
      </c>
    </row>
    <row r="213" spans="1:7" x14ac:dyDescent="0.25">
      <c r="A213" t="s">
        <v>12</v>
      </c>
      <c r="B213">
        <v>7</v>
      </c>
      <c r="C213" t="s">
        <v>71</v>
      </c>
      <c r="D213" t="s">
        <v>69</v>
      </c>
      <c r="E213">
        <v>0</v>
      </c>
      <c r="F213">
        <v>0</v>
      </c>
      <c r="G213" s="43">
        <v>0</v>
      </c>
    </row>
    <row r="214" spans="1:7" x14ac:dyDescent="0.25">
      <c r="A214" t="s">
        <v>12</v>
      </c>
      <c r="B214">
        <v>7</v>
      </c>
      <c r="C214" t="s">
        <v>71</v>
      </c>
      <c r="D214" t="s">
        <v>70</v>
      </c>
      <c r="E214">
        <v>0</v>
      </c>
      <c r="F214">
        <v>0</v>
      </c>
      <c r="G214" s="43">
        <v>0</v>
      </c>
    </row>
    <row r="215" spans="1:7" x14ac:dyDescent="0.25">
      <c r="A215" t="s">
        <v>12</v>
      </c>
      <c r="B215">
        <v>7</v>
      </c>
      <c r="C215" t="s">
        <v>72</v>
      </c>
      <c r="D215" t="s">
        <v>23</v>
      </c>
      <c r="E215">
        <v>0</v>
      </c>
      <c r="F215">
        <v>0</v>
      </c>
      <c r="G215" s="43">
        <v>0</v>
      </c>
    </row>
    <row r="216" spans="1:7" x14ac:dyDescent="0.25">
      <c r="A216" t="s">
        <v>12</v>
      </c>
      <c r="B216">
        <v>7</v>
      </c>
      <c r="C216" t="s">
        <v>73</v>
      </c>
      <c r="D216" t="s">
        <v>74</v>
      </c>
      <c r="E216">
        <v>0</v>
      </c>
      <c r="F216">
        <v>0</v>
      </c>
      <c r="G216" s="43">
        <v>0</v>
      </c>
    </row>
    <row r="217" spans="1:7" x14ac:dyDescent="0.25">
      <c r="A217" t="s">
        <v>12</v>
      </c>
      <c r="B217">
        <v>7</v>
      </c>
      <c r="C217" t="s">
        <v>73</v>
      </c>
      <c r="D217" t="s">
        <v>75</v>
      </c>
      <c r="E217">
        <v>0</v>
      </c>
      <c r="F217">
        <v>0</v>
      </c>
      <c r="G217" s="43">
        <v>0</v>
      </c>
    </row>
    <row r="218" spans="1:7" x14ac:dyDescent="0.25">
      <c r="A218" t="s">
        <v>19</v>
      </c>
      <c r="B218">
        <v>7</v>
      </c>
      <c r="C218" t="s">
        <v>67</v>
      </c>
      <c r="D218" t="s">
        <v>68</v>
      </c>
      <c r="E218">
        <v>2</v>
      </c>
      <c r="F218">
        <v>136.19399999999999</v>
      </c>
      <c r="G218" s="43">
        <v>38600000</v>
      </c>
    </row>
    <row r="219" spans="1:7" x14ac:dyDescent="0.25">
      <c r="A219" t="s">
        <v>19</v>
      </c>
      <c r="B219">
        <v>7</v>
      </c>
      <c r="C219" t="s">
        <v>67</v>
      </c>
      <c r="D219" t="s">
        <v>69</v>
      </c>
      <c r="E219">
        <v>1</v>
      </c>
      <c r="F219">
        <v>67.792000000000002</v>
      </c>
      <c r="G219" s="43">
        <v>20750000</v>
      </c>
    </row>
    <row r="220" spans="1:7" x14ac:dyDescent="0.25">
      <c r="A220" t="s">
        <v>19</v>
      </c>
      <c r="B220">
        <v>7</v>
      </c>
      <c r="C220" t="s">
        <v>67</v>
      </c>
      <c r="D220" t="s">
        <v>70</v>
      </c>
      <c r="E220">
        <v>1</v>
      </c>
      <c r="F220">
        <v>66.924000000000007</v>
      </c>
      <c r="G220" s="43">
        <v>19300000</v>
      </c>
    </row>
    <row r="221" spans="1:7" x14ac:dyDescent="0.25">
      <c r="A221" t="s">
        <v>19</v>
      </c>
      <c r="B221">
        <v>7</v>
      </c>
      <c r="C221" t="s">
        <v>71</v>
      </c>
      <c r="D221" t="s">
        <v>68</v>
      </c>
      <c r="E221">
        <v>0</v>
      </c>
      <c r="F221">
        <v>0</v>
      </c>
      <c r="G221" s="43">
        <v>0</v>
      </c>
    </row>
    <row r="222" spans="1:7" x14ac:dyDescent="0.25">
      <c r="A222" t="s">
        <v>19</v>
      </c>
      <c r="B222">
        <v>7</v>
      </c>
      <c r="C222" t="s">
        <v>71</v>
      </c>
      <c r="D222" t="s">
        <v>69</v>
      </c>
      <c r="E222">
        <v>0</v>
      </c>
      <c r="F222">
        <v>0</v>
      </c>
      <c r="G222" s="43">
        <v>0</v>
      </c>
    </row>
    <row r="223" spans="1:7" x14ac:dyDescent="0.25">
      <c r="A223" t="s">
        <v>19</v>
      </c>
      <c r="B223">
        <v>7</v>
      </c>
      <c r="C223" t="s">
        <v>71</v>
      </c>
      <c r="D223" t="s">
        <v>70</v>
      </c>
      <c r="E223">
        <v>0</v>
      </c>
      <c r="F223">
        <v>0</v>
      </c>
      <c r="G223" s="43">
        <v>0</v>
      </c>
    </row>
    <row r="224" spans="1:7" x14ac:dyDescent="0.25">
      <c r="A224" t="s">
        <v>19</v>
      </c>
      <c r="B224">
        <v>7</v>
      </c>
      <c r="C224" t="s">
        <v>72</v>
      </c>
      <c r="D224" t="s">
        <v>23</v>
      </c>
      <c r="E224">
        <v>0</v>
      </c>
      <c r="F224">
        <v>0</v>
      </c>
      <c r="G224" s="43">
        <v>0</v>
      </c>
    </row>
    <row r="225" spans="1:7" x14ac:dyDescent="0.25">
      <c r="A225" t="s">
        <v>19</v>
      </c>
      <c r="B225">
        <v>7</v>
      </c>
      <c r="C225" t="s">
        <v>73</v>
      </c>
      <c r="D225" t="s">
        <v>74</v>
      </c>
      <c r="E225">
        <v>0</v>
      </c>
      <c r="F225">
        <v>0</v>
      </c>
      <c r="G225" s="43">
        <v>0</v>
      </c>
    </row>
    <row r="226" spans="1:7" x14ac:dyDescent="0.25">
      <c r="A226" t="s">
        <v>19</v>
      </c>
      <c r="B226">
        <v>7</v>
      </c>
      <c r="C226" t="s">
        <v>73</v>
      </c>
      <c r="D226" t="s">
        <v>75</v>
      </c>
      <c r="E226">
        <v>0</v>
      </c>
      <c r="F226">
        <v>0</v>
      </c>
      <c r="G226" s="43">
        <v>0</v>
      </c>
    </row>
    <row r="227" spans="1:7" x14ac:dyDescent="0.25">
      <c r="A227" t="s">
        <v>22</v>
      </c>
      <c r="B227">
        <v>7</v>
      </c>
      <c r="C227" t="s">
        <v>67</v>
      </c>
      <c r="D227" t="s">
        <v>68</v>
      </c>
      <c r="E227">
        <v>0</v>
      </c>
      <c r="F227">
        <v>0</v>
      </c>
      <c r="G227" s="43">
        <v>0</v>
      </c>
    </row>
    <row r="228" spans="1:7" x14ac:dyDescent="0.25">
      <c r="A228" t="s">
        <v>22</v>
      </c>
      <c r="B228">
        <v>7</v>
      </c>
      <c r="C228" t="s">
        <v>67</v>
      </c>
      <c r="D228" t="s">
        <v>69</v>
      </c>
      <c r="E228">
        <v>0</v>
      </c>
      <c r="F228">
        <v>0</v>
      </c>
      <c r="G228" s="43">
        <v>0</v>
      </c>
    </row>
    <row r="229" spans="1:7" x14ac:dyDescent="0.25">
      <c r="A229" t="s">
        <v>22</v>
      </c>
      <c r="B229">
        <v>7</v>
      </c>
      <c r="C229" t="s">
        <v>67</v>
      </c>
      <c r="D229" t="s">
        <v>70</v>
      </c>
      <c r="E229">
        <v>0</v>
      </c>
      <c r="F229">
        <v>0</v>
      </c>
      <c r="G229" s="43">
        <v>0</v>
      </c>
    </row>
    <row r="230" spans="1:7" x14ac:dyDescent="0.25">
      <c r="A230" t="s">
        <v>22</v>
      </c>
      <c r="B230">
        <v>7</v>
      </c>
      <c r="C230" t="s">
        <v>71</v>
      </c>
      <c r="D230" t="s">
        <v>68</v>
      </c>
      <c r="E230">
        <v>0</v>
      </c>
      <c r="F230">
        <v>0</v>
      </c>
      <c r="G230" s="43">
        <v>0</v>
      </c>
    </row>
    <row r="231" spans="1:7" x14ac:dyDescent="0.25">
      <c r="A231" t="s">
        <v>22</v>
      </c>
      <c r="B231">
        <v>7</v>
      </c>
      <c r="C231" t="s">
        <v>71</v>
      </c>
      <c r="D231" t="s">
        <v>69</v>
      </c>
      <c r="E231">
        <v>0</v>
      </c>
      <c r="F231">
        <v>0</v>
      </c>
      <c r="G231" s="43">
        <v>0</v>
      </c>
    </row>
    <row r="232" spans="1:7" x14ac:dyDescent="0.25">
      <c r="A232" t="s">
        <v>22</v>
      </c>
      <c r="B232">
        <v>7</v>
      </c>
      <c r="C232" t="s">
        <v>71</v>
      </c>
      <c r="D232" t="s">
        <v>70</v>
      </c>
      <c r="E232">
        <v>0</v>
      </c>
      <c r="F232">
        <v>0</v>
      </c>
      <c r="G232" s="43">
        <v>0</v>
      </c>
    </row>
    <row r="233" spans="1:7" x14ac:dyDescent="0.25">
      <c r="A233" t="s">
        <v>22</v>
      </c>
      <c r="B233">
        <v>7</v>
      </c>
      <c r="C233" t="s">
        <v>72</v>
      </c>
      <c r="D233" t="s">
        <v>23</v>
      </c>
      <c r="E233">
        <v>2</v>
      </c>
      <c r="F233">
        <v>1.41</v>
      </c>
      <c r="G233" s="43">
        <v>1696000</v>
      </c>
    </row>
    <row r="234" spans="1:7" x14ac:dyDescent="0.25">
      <c r="A234" t="s">
        <v>22</v>
      </c>
      <c r="B234">
        <v>7</v>
      </c>
      <c r="C234" t="s">
        <v>73</v>
      </c>
      <c r="D234" t="s">
        <v>74</v>
      </c>
      <c r="E234">
        <v>0</v>
      </c>
      <c r="F234">
        <v>0</v>
      </c>
      <c r="G234" s="43">
        <v>0</v>
      </c>
    </row>
    <row r="235" spans="1:7" x14ac:dyDescent="0.25">
      <c r="A235" t="s">
        <v>22</v>
      </c>
      <c r="B235">
        <v>7</v>
      </c>
      <c r="C235" t="s">
        <v>73</v>
      </c>
      <c r="D235" t="s">
        <v>75</v>
      </c>
      <c r="E235">
        <v>0</v>
      </c>
      <c r="F235">
        <v>0</v>
      </c>
      <c r="G235" s="43">
        <v>0</v>
      </c>
    </row>
    <row r="236" spans="1:7" x14ac:dyDescent="0.25">
      <c r="A236" t="s">
        <v>15</v>
      </c>
      <c r="B236">
        <v>7</v>
      </c>
      <c r="C236" t="s">
        <v>67</v>
      </c>
      <c r="D236" t="s">
        <v>68</v>
      </c>
      <c r="E236">
        <v>0</v>
      </c>
      <c r="F236">
        <v>0</v>
      </c>
      <c r="G236" s="43">
        <v>0</v>
      </c>
    </row>
    <row r="237" spans="1:7" x14ac:dyDescent="0.25">
      <c r="A237" t="s">
        <v>15</v>
      </c>
      <c r="B237">
        <v>7</v>
      </c>
      <c r="C237" t="s">
        <v>67</v>
      </c>
      <c r="D237" t="s">
        <v>69</v>
      </c>
      <c r="E237">
        <v>0</v>
      </c>
      <c r="F237">
        <v>0</v>
      </c>
      <c r="G237" s="43">
        <v>0</v>
      </c>
    </row>
    <row r="238" spans="1:7" x14ac:dyDescent="0.25">
      <c r="A238" t="s">
        <v>15</v>
      </c>
      <c r="B238">
        <v>7</v>
      </c>
      <c r="C238" t="s">
        <v>67</v>
      </c>
      <c r="D238" t="s">
        <v>70</v>
      </c>
      <c r="E238">
        <v>0</v>
      </c>
      <c r="F238">
        <v>0</v>
      </c>
      <c r="G238" s="43">
        <v>0</v>
      </c>
    </row>
    <row r="239" spans="1:7" x14ac:dyDescent="0.25">
      <c r="A239" t="s">
        <v>15</v>
      </c>
      <c r="B239">
        <v>7</v>
      </c>
      <c r="C239" t="s">
        <v>71</v>
      </c>
      <c r="D239" t="s">
        <v>68</v>
      </c>
      <c r="E239">
        <v>0</v>
      </c>
      <c r="F239">
        <v>0</v>
      </c>
      <c r="G239" s="43">
        <v>0</v>
      </c>
    </row>
    <row r="240" spans="1:7" x14ac:dyDescent="0.25">
      <c r="A240" t="s">
        <v>15</v>
      </c>
      <c r="B240">
        <v>7</v>
      </c>
      <c r="C240" t="s">
        <v>71</v>
      </c>
      <c r="D240" t="s">
        <v>69</v>
      </c>
      <c r="E240">
        <v>0</v>
      </c>
      <c r="F240">
        <v>0</v>
      </c>
      <c r="G240" s="43">
        <v>0</v>
      </c>
    </row>
    <row r="241" spans="1:7" x14ac:dyDescent="0.25">
      <c r="A241" t="s">
        <v>15</v>
      </c>
      <c r="B241">
        <v>7</v>
      </c>
      <c r="C241" t="s">
        <v>71</v>
      </c>
      <c r="D241" t="s">
        <v>70</v>
      </c>
      <c r="E241">
        <v>0</v>
      </c>
      <c r="F241">
        <v>0</v>
      </c>
      <c r="G241" s="43">
        <v>0</v>
      </c>
    </row>
    <row r="242" spans="1:7" x14ac:dyDescent="0.25">
      <c r="A242" t="s">
        <v>15</v>
      </c>
      <c r="B242">
        <v>7</v>
      </c>
      <c r="C242" t="s">
        <v>72</v>
      </c>
      <c r="D242" t="s">
        <v>23</v>
      </c>
      <c r="E242">
        <v>0</v>
      </c>
      <c r="F242">
        <v>0</v>
      </c>
      <c r="G242" s="43">
        <v>0</v>
      </c>
    </row>
    <row r="243" spans="1:7" x14ac:dyDescent="0.25">
      <c r="A243" t="s">
        <v>15</v>
      </c>
      <c r="B243">
        <v>7</v>
      </c>
      <c r="C243" t="s">
        <v>73</v>
      </c>
      <c r="D243" t="s">
        <v>74</v>
      </c>
      <c r="E243">
        <v>0</v>
      </c>
      <c r="F243">
        <v>0</v>
      </c>
      <c r="G243" s="43">
        <v>0</v>
      </c>
    </row>
    <row r="244" spans="1:7" x14ac:dyDescent="0.25">
      <c r="A244" t="s">
        <v>15</v>
      </c>
      <c r="B244">
        <v>7</v>
      </c>
      <c r="C244" t="s">
        <v>73</v>
      </c>
      <c r="D244" t="s">
        <v>75</v>
      </c>
      <c r="E244">
        <v>0</v>
      </c>
      <c r="F244">
        <v>0</v>
      </c>
      <c r="G244" s="43">
        <v>0</v>
      </c>
    </row>
    <row r="245" spans="1:7" x14ac:dyDescent="0.25">
      <c r="A245" t="s">
        <v>76</v>
      </c>
      <c r="B245">
        <v>7</v>
      </c>
      <c r="C245" t="s">
        <v>67</v>
      </c>
      <c r="D245" t="s">
        <v>68</v>
      </c>
      <c r="E245">
        <v>18</v>
      </c>
      <c r="F245">
        <v>1209.8249999999998</v>
      </c>
      <c r="G245" s="43">
        <v>283400000</v>
      </c>
    </row>
    <row r="246" spans="1:7" x14ac:dyDescent="0.25">
      <c r="A246" t="s">
        <v>76</v>
      </c>
      <c r="B246">
        <v>7</v>
      </c>
      <c r="C246" t="s">
        <v>67</v>
      </c>
      <c r="D246" t="s">
        <v>69</v>
      </c>
      <c r="E246">
        <v>15</v>
      </c>
      <c r="F246">
        <v>1013.7570000000001</v>
      </c>
      <c r="G246" s="43">
        <v>252500000</v>
      </c>
    </row>
    <row r="247" spans="1:7" x14ac:dyDescent="0.25">
      <c r="A247" t="s">
        <v>76</v>
      </c>
      <c r="B247">
        <v>7</v>
      </c>
      <c r="C247" t="s">
        <v>67</v>
      </c>
      <c r="D247" t="s">
        <v>70</v>
      </c>
      <c r="E247">
        <v>17</v>
      </c>
      <c r="F247">
        <v>1141.7059999999997</v>
      </c>
      <c r="G247" s="43">
        <v>270900000</v>
      </c>
    </row>
    <row r="248" spans="1:7" x14ac:dyDescent="0.25">
      <c r="A248" t="s">
        <v>76</v>
      </c>
      <c r="B248">
        <v>7</v>
      </c>
      <c r="C248" t="s">
        <v>71</v>
      </c>
      <c r="D248" t="s">
        <v>68</v>
      </c>
      <c r="E248">
        <v>3</v>
      </c>
      <c r="F248">
        <v>216.38500000000002</v>
      </c>
      <c r="G248" s="43">
        <v>41651800</v>
      </c>
    </row>
    <row r="249" spans="1:7" x14ac:dyDescent="0.25">
      <c r="A249" t="s">
        <v>76</v>
      </c>
      <c r="B249">
        <v>7</v>
      </c>
      <c r="C249" t="s">
        <v>71</v>
      </c>
      <c r="D249" t="s">
        <v>69</v>
      </c>
      <c r="E249">
        <v>0</v>
      </c>
      <c r="F249">
        <v>0</v>
      </c>
      <c r="G249" s="43">
        <v>0</v>
      </c>
    </row>
    <row r="250" spans="1:7" x14ac:dyDescent="0.25">
      <c r="A250" t="s">
        <v>76</v>
      </c>
      <c r="B250">
        <v>7</v>
      </c>
      <c r="C250" t="s">
        <v>71</v>
      </c>
      <c r="D250" t="s">
        <v>70</v>
      </c>
      <c r="E250">
        <v>0</v>
      </c>
      <c r="F250">
        <v>0</v>
      </c>
      <c r="G250" s="43">
        <v>0</v>
      </c>
    </row>
    <row r="251" spans="1:7" x14ac:dyDescent="0.25">
      <c r="A251" t="s">
        <v>76</v>
      </c>
      <c r="B251">
        <v>7</v>
      </c>
      <c r="C251" t="s">
        <v>72</v>
      </c>
      <c r="D251" t="s">
        <v>23</v>
      </c>
      <c r="E251">
        <v>7</v>
      </c>
      <c r="F251">
        <v>9.75</v>
      </c>
      <c r="G251" s="43">
        <v>19210688</v>
      </c>
    </row>
    <row r="252" spans="1:7" x14ac:dyDescent="0.25">
      <c r="A252" t="s">
        <v>76</v>
      </c>
      <c r="B252">
        <v>7</v>
      </c>
      <c r="C252" t="s">
        <v>73</v>
      </c>
      <c r="D252" t="s">
        <v>74</v>
      </c>
      <c r="E252">
        <v>0</v>
      </c>
      <c r="F252">
        <v>0</v>
      </c>
      <c r="G252" s="43">
        <v>0</v>
      </c>
    </row>
    <row r="253" spans="1:7" x14ac:dyDescent="0.25">
      <c r="A253" t="s">
        <v>76</v>
      </c>
      <c r="B253">
        <v>7</v>
      </c>
      <c r="C253" t="s">
        <v>73</v>
      </c>
      <c r="D253" t="s">
        <v>75</v>
      </c>
      <c r="E253">
        <v>0</v>
      </c>
      <c r="F253">
        <v>0</v>
      </c>
      <c r="G253" s="43">
        <v>0</v>
      </c>
    </row>
    <row r="254" spans="1:7" x14ac:dyDescent="0.25">
      <c r="A254" t="s">
        <v>28</v>
      </c>
      <c r="B254">
        <v>8</v>
      </c>
      <c r="C254" t="s">
        <v>67</v>
      </c>
      <c r="D254" t="s">
        <v>68</v>
      </c>
      <c r="E254">
        <v>15</v>
      </c>
      <c r="F254">
        <v>1004.4350000000001</v>
      </c>
      <c r="G254" s="43">
        <v>229500000</v>
      </c>
    </row>
    <row r="255" spans="1:7" x14ac:dyDescent="0.25">
      <c r="A255" t="s">
        <v>28</v>
      </c>
      <c r="B255">
        <v>8</v>
      </c>
      <c r="C255" t="s">
        <v>67</v>
      </c>
      <c r="D255" t="s">
        <v>69</v>
      </c>
      <c r="E255">
        <v>10</v>
      </c>
      <c r="F255">
        <v>662.03</v>
      </c>
      <c r="G255" s="43">
        <v>162000000</v>
      </c>
    </row>
    <row r="256" spans="1:7" x14ac:dyDescent="0.25">
      <c r="A256" t="s">
        <v>28</v>
      </c>
      <c r="B256">
        <v>8</v>
      </c>
      <c r="C256" t="s">
        <v>67</v>
      </c>
      <c r="D256" t="s">
        <v>70</v>
      </c>
      <c r="E256">
        <v>16</v>
      </c>
      <c r="F256">
        <v>1071.8910000000001</v>
      </c>
      <c r="G256" s="43">
        <v>248000000</v>
      </c>
    </row>
    <row r="257" spans="1:7" x14ac:dyDescent="0.25">
      <c r="A257" t="s">
        <v>28</v>
      </c>
      <c r="B257">
        <v>8</v>
      </c>
      <c r="C257" t="s">
        <v>71</v>
      </c>
      <c r="D257" t="s">
        <v>68</v>
      </c>
      <c r="E257">
        <v>0</v>
      </c>
      <c r="F257">
        <v>0</v>
      </c>
      <c r="G257" s="43">
        <v>0</v>
      </c>
    </row>
    <row r="258" spans="1:7" x14ac:dyDescent="0.25">
      <c r="A258" t="s">
        <v>28</v>
      </c>
      <c r="B258">
        <v>8</v>
      </c>
      <c r="C258" t="s">
        <v>71</v>
      </c>
      <c r="D258" t="s">
        <v>69</v>
      </c>
      <c r="E258">
        <v>0</v>
      </c>
      <c r="F258">
        <v>0</v>
      </c>
      <c r="G258" s="43">
        <v>0</v>
      </c>
    </row>
    <row r="259" spans="1:7" x14ac:dyDescent="0.25">
      <c r="A259" t="s">
        <v>28</v>
      </c>
      <c r="B259">
        <v>8</v>
      </c>
      <c r="C259" t="s">
        <v>71</v>
      </c>
      <c r="D259" t="s">
        <v>70</v>
      </c>
      <c r="E259">
        <v>0</v>
      </c>
      <c r="F259">
        <v>0</v>
      </c>
      <c r="G259" s="43">
        <v>0</v>
      </c>
    </row>
    <row r="260" spans="1:7" x14ac:dyDescent="0.25">
      <c r="A260" t="s">
        <v>28</v>
      </c>
      <c r="B260">
        <v>8</v>
      </c>
      <c r="C260" t="s">
        <v>72</v>
      </c>
      <c r="D260" t="s">
        <v>23</v>
      </c>
      <c r="E260">
        <v>12</v>
      </c>
      <c r="F260">
        <v>12.41</v>
      </c>
      <c r="G260" s="43">
        <v>24325931</v>
      </c>
    </row>
    <row r="261" spans="1:7" x14ac:dyDescent="0.25">
      <c r="A261" t="s">
        <v>28</v>
      </c>
      <c r="B261">
        <v>8</v>
      </c>
      <c r="C261" t="s">
        <v>73</v>
      </c>
      <c r="D261" t="s">
        <v>74</v>
      </c>
      <c r="E261">
        <v>0</v>
      </c>
      <c r="F261">
        <v>0</v>
      </c>
      <c r="G261" s="43">
        <v>0</v>
      </c>
    </row>
    <row r="262" spans="1:7" x14ac:dyDescent="0.25">
      <c r="A262" t="s">
        <v>28</v>
      </c>
      <c r="B262">
        <v>8</v>
      </c>
      <c r="C262" t="s">
        <v>73</v>
      </c>
      <c r="D262" t="s">
        <v>75</v>
      </c>
      <c r="E262">
        <v>0</v>
      </c>
      <c r="F262">
        <v>0</v>
      </c>
      <c r="G262" s="43">
        <v>0</v>
      </c>
    </row>
    <row r="263" spans="1:7" x14ac:dyDescent="0.25">
      <c r="A263" t="s">
        <v>5</v>
      </c>
      <c r="B263">
        <v>8</v>
      </c>
      <c r="C263" t="s">
        <v>67</v>
      </c>
      <c r="D263" t="s">
        <v>68</v>
      </c>
      <c r="E263">
        <v>4</v>
      </c>
      <c r="F263">
        <v>269.20400000000006</v>
      </c>
      <c r="G263" s="43">
        <v>61200000</v>
      </c>
    </row>
    <row r="264" spans="1:7" x14ac:dyDescent="0.25">
      <c r="A264" t="s">
        <v>5</v>
      </c>
      <c r="B264">
        <v>8</v>
      </c>
      <c r="C264" t="s">
        <v>67</v>
      </c>
      <c r="D264" t="s">
        <v>69</v>
      </c>
      <c r="E264">
        <v>1</v>
      </c>
      <c r="F264">
        <v>66.695000000000007</v>
      </c>
      <c r="G264" s="43">
        <v>16750000</v>
      </c>
    </row>
    <row r="265" spans="1:7" x14ac:dyDescent="0.25">
      <c r="A265" t="s">
        <v>5</v>
      </c>
      <c r="B265">
        <v>8</v>
      </c>
      <c r="C265" t="s">
        <v>67</v>
      </c>
      <c r="D265" t="s">
        <v>70</v>
      </c>
      <c r="E265">
        <v>2</v>
      </c>
      <c r="F265">
        <v>134.63</v>
      </c>
      <c r="G265" s="43">
        <v>33400000</v>
      </c>
    </row>
    <row r="266" spans="1:7" x14ac:dyDescent="0.25">
      <c r="A266" t="s">
        <v>5</v>
      </c>
      <c r="B266">
        <v>8</v>
      </c>
      <c r="C266" t="s">
        <v>71</v>
      </c>
      <c r="D266" t="s">
        <v>68</v>
      </c>
      <c r="E266">
        <v>0</v>
      </c>
      <c r="F266">
        <v>0</v>
      </c>
      <c r="G266" s="43">
        <v>0</v>
      </c>
    </row>
    <row r="267" spans="1:7" x14ac:dyDescent="0.25">
      <c r="A267" t="s">
        <v>5</v>
      </c>
      <c r="B267">
        <v>8</v>
      </c>
      <c r="C267" t="s">
        <v>71</v>
      </c>
      <c r="D267" t="s">
        <v>69</v>
      </c>
      <c r="E267">
        <v>0</v>
      </c>
      <c r="F267">
        <v>0</v>
      </c>
      <c r="G267" s="43">
        <v>0</v>
      </c>
    </row>
    <row r="268" spans="1:7" x14ac:dyDescent="0.25">
      <c r="A268" t="s">
        <v>5</v>
      </c>
      <c r="B268">
        <v>8</v>
      </c>
      <c r="C268" t="s">
        <v>71</v>
      </c>
      <c r="D268" t="s">
        <v>70</v>
      </c>
      <c r="E268">
        <v>0</v>
      </c>
      <c r="F268">
        <v>0</v>
      </c>
      <c r="G268" s="43">
        <v>0</v>
      </c>
    </row>
    <row r="269" spans="1:7" x14ac:dyDescent="0.25">
      <c r="A269" t="s">
        <v>5</v>
      </c>
      <c r="B269">
        <v>8</v>
      </c>
      <c r="C269" t="s">
        <v>72</v>
      </c>
      <c r="D269" t="s">
        <v>23</v>
      </c>
      <c r="E269">
        <v>0</v>
      </c>
      <c r="F269">
        <v>0</v>
      </c>
      <c r="G269" s="43">
        <v>0</v>
      </c>
    </row>
    <row r="270" spans="1:7" x14ac:dyDescent="0.25">
      <c r="A270" t="s">
        <v>5</v>
      </c>
      <c r="B270">
        <v>8</v>
      </c>
      <c r="C270" t="s">
        <v>73</v>
      </c>
      <c r="D270" t="s">
        <v>74</v>
      </c>
      <c r="E270">
        <v>0</v>
      </c>
      <c r="F270">
        <v>0</v>
      </c>
      <c r="G270" s="43">
        <v>0</v>
      </c>
    </row>
    <row r="271" spans="1:7" x14ac:dyDescent="0.25">
      <c r="A271" t="s">
        <v>5</v>
      </c>
      <c r="B271">
        <v>8</v>
      </c>
      <c r="C271" t="s">
        <v>73</v>
      </c>
      <c r="D271" t="s">
        <v>75</v>
      </c>
      <c r="E271">
        <v>0</v>
      </c>
      <c r="F271">
        <v>0</v>
      </c>
      <c r="G271" s="43">
        <v>0</v>
      </c>
    </row>
    <row r="272" spans="1:7" x14ac:dyDescent="0.25">
      <c r="A272" t="s">
        <v>12</v>
      </c>
      <c r="B272">
        <v>8</v>
      </c>
      <c r="C272" t="s">
        <v>67</v>
      </c>
      <c r="D272" t="s">
        <v>68</v>
      </c>
      <c r="E272">
        <v>0</v>
      </c>
      <c r="F272">
        <v>0</v>
      </c>
      <c r="G272" s="43">
        <v>0</v>
      </c>
    </row>
    <row r="273" spans="1:7" x14ac:dyDescent="0.25">
      <c r="A273" t="s">
        <v>12</v>
      </c>
      <c r="B273">
        <v>8</v>
      </c>
      <c r="C273" t="s">
        <v>67</v>
      </c>
      <c r="D273" t="s">
        <v>69</v>
      </c>
      <c r="E273">
        <v>0</v>
      </c>
      <c r="F273">
        <v>0</v>
      </c>
      <c r="G273" s="43">
        <v>0</v>
      </c>
    </row>
    <row r="274" spans="1:7" x14ac:dyDescent="0.25">
      <c r="A274" t="s">
        <v>12</v>
      </c>
      <c r="B274">
        <v>8</v>
      </c>
      <c r="C274" t="s">
        <v>67</v>
      </c>
      <c r="D274" t="s">
        <v>70</v>
      </c>
      <c r="E274">
        <v>0</v>
      </c>
      <c r="F274">
        <v>0</v>
      </c>
      <c r="G274" s="43">
        <v>0</v>
      </c>
    </row>
    <row r="275" spans="1:7" x14ac:dyDescent="0.25">
      <c r="A275" t="s">
        <v>12</v>
      </c>
      <c r="B275">
        <v>8</v>
      </c>
      <c r="C275" t="s">
        <v>71</v>
      </c>
      <c r="D275" t="s">
        <v>68</v>
      </c>
      <c r="E275">
        <v>1</v>
      </c>
      <c r="F275">
        <v>63.541999999999994</v>
      </c>
      <c r="G275" s="43">
        <v>3651800</v>
      </c>
    </row>
    <row r="276" spans="1:7" x14ac:dyDescent="0.25">
      <c r="A276" t="s">
        <v>12</v>
      </c>
      <c r="B276">
        <v>8</v>
      </c>
      <c r="C276" t="s">
        <v>71</v>
      </c>
      <c r="D276" t="s">
        <v>69</v>
      </c>
      <c r="E276">
        <v>0</v>
      </c>
      <c r="F276">
        <v>0</v>
      </c>
      <c r="G276" s="43">
        <v>0</v>
      </c>
    </row>
    <row r="277" spans="1:7" x14ac:dyDescent="0.25">
      <c r="A277" t="s">
        <v>12</v>
      </c>
      <c r="B277">
        <v>8</v>
      </c>
      <c r="C277" t="s">
        <v>71</v>
      </c>
      <c r="D277" t="s">
        <v>70</v>
      </c>
      <c r="E277">
        <v>0</v>
      </c>
      <c r="F277">
        <v>0</v>
      </c>
      <c r="G277" s="43">
        <v>0</v>
      </c>
    </row>
    <row r="278" spans="1:7" x14ac:dyDescent="0.25">
      <c r="A278" t="s">
        <v>12</v>
      </c>
      <c r="B278">
        <v>8</v>
      </c>
      <c r="C278" t="s">
        <v>72</v>
      </c>
      <c r="D278" t="s">
        <v>23</v>
      </c>
      <c r="E278">
        <v>0</v>
      </c>
      <c r="F278">
        <v>0</v>
      </c>
      <c r="G278" s="43">
        <v>0</v>
      </c>
    </row>
    <row r="279" spans="1:7" x14ac:dyDescent="0.25">
      <c r="A279" t="s">
        <v>12</v>
      </c>
      <c r="B279">
        <v>8</v>
      </c>
      <c r="C279" t="s">
        <v>73</v>
      </c>
      <c r="D279" t="s">
        <v>74</v>
      </c>
      <c r="E279">
        <v>0</v>
      </c>
      <c r="F279">
        <v>0</v>
      </c>
      <c r="G279" s="43">
        <v>0</v>
      </c>
    </row>
    <row r="280" spans="1:7" x14ac:dyDescent="0.25">
      <c r="A280" t="s">
        <v>12</v>
      </c>
      <c r="B280">
        <v>8</v>
      </c>
      <c r="C280" t="s">
        <v>73</v>
      </c>
      <c r="D280" t="s">
        <v>75</v>
      </c>
      <c r="E280">
        <v>0</v>
      </c>
      <c r="F280">
        <v>0</v>
      </c>
      <c r="G280" s="43">
        <v>0</v>
      </c>
    </row>
    <row r="281" spans="1:7" x14ac:dyDescent="0.25">
      <c r="A281" t="s">
        <v>19</v>
      </c>
      <c r="B281">
        <v>8</v>
      </c>
      <c r="C281" t="s">
        <v>67</v>
      </c>
      <c r="D281" t="s">
        <v>68</v>
      </c>
      <c r="E281">
        <v>2</v>
      </c>
      <c r="F281">
        <v>134.43499999999997</v>
      </c>
      <c r="G281" s="43">
        <v>38600000</v>
      </c>
    </row>
    <row r="282" spans="1:7" x14ac:dyDescent="0.25">
      <c r="A282" t="s">
        <v>19</v>
      </c>
      <c r="B282">
        <v>8</v>
      </c>
      <c r="C282" t="s">
        <v>67</v>
      </c>
      <c r="D282" t="s">
        <v>69</v>
      </c>
      <c r="E282">
        <v>0</v>
      </c>
      <c r="F282">
        <v>0</v>
      </c>
      <c r="G282" s="43">
        <v>0</v>
      </c>
    </row>
    <row r="283" spans="1:7" x14ac:dyDescent="0.25">
      <c r="A283" t="s">
        <v>19</v>
      </c>
      <c r="B283">
        <v>8</v>
      </c>
      <c r="C283" t="s">
        <v>67</v>
      </c>
      <c r="D283" t="s">
        <v>70</v>
      </c>
      <c r="E283">
        <v>2</v>
      </c>
      <c r="F283">
        <v>133.893</v>
      </c>
      <c r="G283" s="43">
        <v>38600000</v>
      </c>
    </row>
    <row r="284" spans="1:7" x14ac:dyDescent="0.25">
      <c r="A284" t="s">
        <v>19</v>
      </c>
      <c r="B284">
        <v>8</v>
      </c>
      <c r="C284" t="s">
        <v>71</v>
      </c>
      <c r="D284" t="s">
        <v>68</v>
      </c>
      <c r="E284">
        <v>0</v>
      </c>
      <c r="F284">
        <v>0</v>
      </c>
      <c r="G284" s="43">
        <v>0</v>
      </c>
    </row>
    <row r="285" spans="1:7" x14ac:dyDescent="0.25">
      <c r="A285" t="s">
        <v>19</v>
      </c>
      <c r="B285">
        <v>8</v>
      </c>
      <c r="C285" t="s">
        <v>71</v>
      </c>
      <c r="D285" t="s">
        <v>69</v>
      </c>
      <c r="E285">
        <v>0</v>
      </c>
      <c r="F285">
        <v>0</v>
      </c>
      <c r="G285" s="43">
        <v>0</v>
      </c>
    </row>
    <row r="286" spans="1:7" x14ac:dyDescent="0.25">
      <c r="A286" t="s">
        <v>19</v>
      </c>
      <c r="B286">
        <v>8</v>
      </c>
      <c r="C286" t="s">
        <v>71</v>
      </c>
      <c r="D286" t="s">
        <v>70</v>
      </c>
      <c r="E286">
        <v>0</v>
      </c>
      <c r="F286">
        <v>0</v>
      </c>
      <c r="G286" s="43">
        <v>0</v>
      </c>
    </row>
    <row r="287" spans="1:7" x14ac:dyDescent="0.25">
      <c r="A287" t="s">
        <v>19</v>
      </c>
      <c r="B287">
        <v>8</v>
      </c>
      <c r="C287" t="s">
        <v>72</v>
      </c>
      <c r="D287" t="s">
        <v>23</v>
      </c>
      <c r="E287">
        <v>0</v>
      </c>
      <c r="F287">
        <v>0</v>
      </c>
      <c r="G287" s="43">
        <v>0</v>
      </c>
    </row>
    <row r="288" spans="1:7" x14ac:dyDescent="0.25">
      <c r="A288" t="s">
        <v>19</v>
      </c>
      <c r="B288">
        <v>8</v>
      </c>
      <c r="C288" t="s">
        <v>73</v>
      </c>
      <c r="D288" t="s">
        <v>74</v>
      </c>
      <c r="E288">
        <v>0</v>
      </c>
      <c r="F288">
        <v>0</v>
      </c>
      <c r="G288" s="43">
        <v>0</v>
      </c>
    </row>
    <row r="289" spans="1:7" x14ac:dyDescent="0.25">
      <c r="A289" t="s">
        <v>19</v>
      </c>
      <c r="B289">
        <v>8</v>
      </c>
      <c r="C289" t="s">
        <v>73</v>
      </c>
      <c r="D289" t="s">
        <v>75</v>
      </c>
      <c r="E289">
        <v>0</v>
      </c>
      <c r="F289">
        <v>0</v>
      </c>
      <c r="G289" s="43">
        <v>0</v>
      </c>
    </row>
    <row r="290" spans="1:7" x14ac:dyDescent="0.25">
      <c r="A290" t="s">
        <v>22</v>
      </c>
      <c r="B290">
        <v>8</v>
      </c>
      <c r="C290" t="s">
        <v>67</v>
      </c>
      <c r="D290" t="s">
        <v>68</v>
      </c>
      <c r="E290">
        <v>0</v>
      </c>
      <c r="F290">
        <v>0</v>
      </c>
      <c r="G290" s="43">
        <v>0</v>
      </c>
    </row>
    <row r="291" spans="1:7" x14ac:dyDescent="0.25">
      <c r="A291" t="s">
        <v>22</v>
      </c>
      <c r="B291">
        <v>8</v>
      </c>
      <c r="C291" t="s">
        <v>67</v>
      </c>
      <c r="D291" t="s">
        <v>69</v>
      </c>
      <c r="E291">
        <v>0</v>
      </c>
      <c r="F291">
        <v>0</v>
      </c>
      <c r="G291" s="43">
        <v>0</v>
      </c>
    </row>
    <row r="292" spans="1:7" x14ac:dyDescent="0.25">
      <c r="A292" t="s">
        <v>22</v>
      </c>
      <c r="B292">
        <v>8</v>
      </c>
      <c r="C292" t="s">
        <v>67</v>
      </c>
      <c r="D292" t="s">
        <v>70</v>
      </c>
      <c r="E292">
        <v>0</v>
      </c>
      <c r="F292">
        <v>0</v>
      </c>
      <c r="G292" s="43">
        <v>0</v>
      </c>
    </row>
    <row r="293" spans="1:7" x14ac:dyDescent="0.25">
      <c r="A293" t="s">
        <v>22</v>
      </c>
      <c r="B293">
        <v>8</v>
      </c>
      <c r="C293" t="s">
        <v>71</v>
      </c>
      <c r="D293" t="s">
        <v>68</v>
      </c>
      <c r="E293">
        <v>0</v>
      </c>
      <c r="F293">
        <v>0</v>
      </c>
      <c r="G293" s="43">
        <v>0</v>
      </c>
    </row>
    <row r="294" spans="1:7" x14ac:dyDescent="0.25">
      <c r="A294" t="s">
        <v>22</v>
      </c>
      <c r="B294">
        <v>8</v>
      </c>
      <c r="C294" t="s">
        <v>71</v>
      </c>
      <c r="D294" t="s">
        <v>69</v>
      </c>
      <c r="E294">
        <v>0</v>
      </c>
      <c r="F294">
        <v>0</v>
      </c>
      <c r="G294" s="43">
        <v>0</v>
      </c>
    </row>
    <row r="295" spans="1:7" x14ac:dyDescent="0.25">
      <c r="A295" t="s">
        <v>22</v>
      </c>
      <c r="B295">
        <v>8</v>
      </c>
      <c r="C295" t="s">
        <v>71</v>
      </c>
      <c r="D295" t="s">
        <v>70</v>
      </c>
      <c r="E295">
        <v>0</v>
      </c>
      <c r="F295">
        <v>0</v>
      </c>
      <c r="G295" s="43">
        <v>0</v>
      </c>
    </row>
    <row r="296" spans="1:7" x14ac:dyDescent="0.25">
      <c r="A296" t="s">
        <v>22</v>
      </c>
      <c r="B296">
        <v>8</v>
      </c>
      <c r="C296" t="s">
        <v>72</v>
      </c>
      <c r="D296" t="s">
        <v>23</v>
      </c>
      <c r="E296">
        <v>5</v>
      </c>
      <c r="F296">
        <v>4.3140000000000001</v>
      </c>
      <c r="G296" s="43">
        <v>4777356</v>
      </c>
    </row>
    <row r="297" spans="1:7" x14ac:dyDescent="0.25">
      <c r="A297" t="s">
        <v>22</v>
      </c>
      <c r="B297">
        <v>8</v>
      </c>
      <c r="C297" t="s">
        <v>73</v>
      </c>
      <c r="D297" t="s">
        <v>74</v>
      </c>
      <c r="E297">
        <v>0</v>
      </c>
      <c r="F297">
        <v>0</v>
      </c>
      <c r="G297" s="43">
        <v>0</v>
      </c>
    </row>
    <row r="298" spans="1:7" x14ac:dyDescent="0.25">
      <c r="A298" t="s">
        <v>22</v>
      </c>
      <c r="B298">
        <v>8</v>
      </c>
      <c r="C298" t="s">
        <v>73</v>
      </c>
      <c r="D298" t="s">
        <v>75</v>
      </c>
      <c r="E298">
        <v>0</v>
      </c>
      <c r="F298">
        <v>0</v>
      </c>
      <c r="G298" s="43">
        <v>0</v>
      </c>
    </row>
    <row r="299" spans="1:7" x14ac:dyDescent="0.25">
      <c r="A299" t="s">
        <v>15</v>
      </c>
      <c r="B299">
        <v>8</v>
      </c>
      <c r="C299" t="s">
        <v>67</v>
      </c>
      <c r="D299" t="s">
        <v>68</v>
      </c>
      <c r="E299">
        <v>0</v>
      </c>
      <c r="F299">
        <v>0</v>
      </c>
      <c r="G299" s="43">
        <v>0</v>
      </c>
    </row>
    <row r="300" spans="1:7" x14ac:dyDescent="0.25">
      <c r="A300" t="s">
        <v>15</v>
      </c>
      <c r="B300">
        <v>8</v>
      </c>
      <c r="C300" t="s">
        <v>67</v>
      </c>
      <c r="D300" t="s">
        <v>69</v>
      </c>
      <c r="E300">
        <v>0</v>
      </c>
      <c r="F300">
        <v>0</v>
      </c>
      <c r="G300" s="43">
        <v>0</v>
      </c>
    </row>
    <row r="301" spans="1:7" x14ac:dyDescent="0.25">
      <c r="A301" t="s">
        <v>15</v>
      </c>
      <c r="B301">
        <v>8</v>
      </c>
      <c r="C301" t="s">
        <v>67</v>
      </c>
      <c r="D301" t="s">
        <v>70</v>
      </c>
      <c r="E301">
        <v>0</v>
      </c>
      <c r="F301">
        <v>0</v>
      </c>
      <c r="G301" s="43">
        <v>0</v>
      </c>
    </row>
    <row r="302" spans="1:7" x14ac:dyDescent="0.25">
      <c r="A302" t="s">
        <v>15</v>
      </c>
      <c r="B302">
        <v>8</v>
      </c>
      <c r="C302" t="s">
        <v>71</v>
      </c>
      <c r="D302" t="s">
        <v>68</v>
      </c>
      <c r="E302">
        <v>0</v>
      </c>
      <c r="F302">
        <v>0</v>
      </c>
      <c r="G302" s="43">
        <v>0</v>
      </c>
    </row>
    <row r="303" spans="1:7" x14ac:dyDescent="0.25">
      <c r="A303" t="s">
        <v>15</v>
      </c>
      <c r="B303">
        <v>8</v>
      </c>
      <c r="C303" t="s">
        <v>71</v>
      </c>
      <c r="D303" t="s">
        <v>69</v>
      </c>
      <c r="E303">
        <v>0</v>
      </c>
      <c r="F303">
        <v>0</v>
      </c>
      <c r="G303" s="43">
        <v>0</v>
      </c>
    </row>
    <row r="304" spans="1:7" x14ac:dyDescent="0.25">
      <c r="A304" t="s">
        <v>15</v>
      </c>
      <c r="B304">
        <v>8</v>
      </c>
      <c r="C304" t="s">
        <v>71</v>
      </c>
      <c r="D304" t="s">
        <v>70</v>
      </c>
      <c r="E304">
        <v>0</v>
      </c>
      <c r="F304">
        <v>0</v>
      </c>
      <c r="G304" s="43">
        <v>0</v>
      </c>
    </row>
    <row r="305" spans="1:7" x14ac:dyDescent="0.25">
      <c r="A305" t="s">
        <v>15</v>
      </c>
      <c r="B305">
        <v>8</v>
      </c>
      <c r="C305" t="s">
        <v>72</v>
      </c>
      <c r="D305" t="s">
        <v>23</v>
      </c>
      <c r="E305">
        <v>0</v>
      </c>
      <c r="F305">
        <v>0</v>
      </c>
      <c r="G305" s="43">
        <v>0</v>
      </c>
    </row>
    <row r="306" spans="1:7" x14ac:dyDescent="0.25">
      <c r="A306" t="s">
        <v>15</v>
      </c>
      <c r="B306">
        <v>8</v>
      </c>
      <c r="C306" t="s">
        <v>73</v>
      </c>
      <c r="D306" t="s">
        <v>74</v>
      </c>
      <c r="E306">
        <v>0</v>
      </c>
      <c r="F306">
        <v>0</v>
      </c>
      <c r="G306" s="43">
        <v>0</v>
      </c>
    </row>
    <row r="307" spans="1:7" x14ac:dyDescent="0.25">
      <c r="A307" t="s">
        <v>15</v>
      </c>
      <c r="B307">
        <v>8</v>
      </c>
      <c r="C307" t="s">
        <v>73</v>
      </c>
      <c r="D307" t="s">
        <v>75</v>
      </c>
      <c r="E307">
        <v>0</v>
      </c>
      <c r="F307">
        <v>0</v>
      </c>
      <c r="G307" s="43">
        <v>0</v>
      </c>
    </row>
    <row r="308" spans="1:7" x14ac:dyDescent="0.25">
      <c r="A308" t="s">
        <v>76</v>
      </c>
      <c r="B308">
        <v>8</v>
      </c>
      <c r="C308" t="s">
        <v>67</v>
      </c>
      <c r="D308" t="s">
        <v>68</v>
      </c>
      <c r="E308">
        <v>21</v>
      </c>
      <c r="F308">
        <v>1408.0740000000001</v>
      </c>
      <c r="G308" s="43">
        <v>329300000</v>
      </c>
    </row>
    <row r="309" spans="1:7" x14ac:dyDescent="0.25">
      <c r="A309" t="s">
        <v>76</v>
      </c>
      <c r="B309">
        <v>8</v>
      </c>
      <c r="C309" t="s">
        <v>67</v>
      </c>
      <c r="D309" t="s">
        <v>69</v>
      </c>
      <c r="E309">
        <v>11</v>
      </c>
      <c r="F309">
        <v>728.72500000000002</v>
      </c>
      <c r="G309" s="43">
        <v>178750000</v>
      </c>
    </row>
    <row r="310" spans="1:7" x14ac:dyDescent="0.25">
      <c r="A310" t="s">
        <v>76</v>
      </c>
      <c r="B310">
        <v>8</v>
      </c>
      <c r="C310" t="s">
        <v>67</v>
      </c>
      <c r="D310" t="s">
        <v>70</v>
      </c>
      <c r="E310">
        <v>20</v>
      </c>
      <c r="F310">
        <v>1340.414</v>
      </c>
      <c r="G310" s="43">
        <v>320000000</v>
      </c>
    </row>
    <row r="311" spans="1:7" x14ac:dyDescent="0.25">
      <c r="A311" t="s">
        <v>76</v>
      </c>
      <c r="B311">
        <v>8</v>
      </c>
      <c r="C311" t="s">
        <v>71</v>
      </c>
      <c r="D311" t="s">
        <v>68</v>
      </c>
      <c r="E311">
        <v>1</v>
      </c>
      <c r="F311">
        <v>63.541999999999994</v>
      </c>
      <c r="G311" s="43">
        <v>3651800</v>
      </c>
    </row>
    <row r="312" spans="1:7" x14ac:dyDescent="0.25">
      <c r="A312" t="s">
        <v>76</v>
      </c>
      <c r="B312">
        <v>8</v>
      </c>
      <c r="C312" t="s">
        <v>71</v>
      </c>
      <c r="D312" t="s">
        <v>69</v>
      </c>
      <c r="E312">
        <v>0</v>
      </c>
      <c r="F312">
        <v>0</v>
      </c>
      <c r="G312" s="43">
        <v>0</v>
      </c>
    </row>
    <row r="313" spans="1:7" x14ac:dyDescent="0.25">
      <c r="A313" t="s">
        <v>76</v>
      </c>
      <c r="B313">
        <v>8</v>
      </c>
      <c r="C313" t="s">
        <v>71</v>
      </c>
      <c r="D313" t="s">
        <v>70</v>
      </c>
      <c r="E313">
        <v>0</v>
      </c>
      <c r="F313">
        <v>0</v>
      </c>
      <c r="G313" s="43">
        <v>0</v>
      </c>
    </row>
    <row r="314" spans="1:7" x14ac:dyDescent="0.25">
      <c r="A314" t="s">
        <v>76</v>
      </c>
      <c r="B314">
        <v>8</v>
      </c>
      <c r="C314" t="s">
        <v>72</v>
      </c>
      <c r="D314" t="s">
        <v>23</v>
      </c>
      <c r="E314">
        <v>17</v>
      </c>
      <c r="F314">
        <v>16.724</v>
      </c>
      <c r="G314" s="43">
        <v>29103287</v>
      </c>
    </row>
    <row r="315" spans="1:7" x14ac:dyDescent="0.25">
      <c r="A315" t="s">
        <v>76</v>
      </c>
      <c r="B315">
        <v>8</v>
      </c>
      <c r="C315" t="s">
        <v>73</v>
      </c>
      <c r="D315" t="s">
        <v>74</v>
      </c>
      <c r="E315">
        <v>0</v>
      </c>
      <c r="F315">
        <v>0</v>
      </c>
      <c r="G315" s="43">
        <v>0</v>
      </c>
    </row>
    <row r="316" spans="1:7" x14ac:dyDescent="0.25">
      <c r="A316" t="s">
        <v>76</v>
      </c>
      <c r="B316">
        <v>8</v>
      </c>
      <c r="C316" t="s">
        <v>73</v>
      </c>
      <c r="D316" t="s">
        <v>75</v>
      </c>
      <c r="E316">
        <v>0</v>
      </c>
      <c r="F316">
        <v>0</v>
      </c>
      <c r="G316" s="43">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640EB-7F98-4E2A-B361-8CA0DEDF8D9E}">
  <sheetPr codeName="Sheet8"/>
  <dimension ref="A1:T38"/>
  <sheetViews>
    <sheetView zoomScale="70" zoomScaleNormal="70" workbookViewId="0">
      <selection activeCell="W47" sqref="W47"/>
    </sheetView>
  </sheetViews>
  <sheetFormatPr defaultColWidth="9.140625" defaultRowHeight="15" x14ac:dyDescent="0.25"/>
  <cols>
    <col min="1" max="8" width="9.140625" style="1"/>
    <col min="9" max="9" width="8.5703125" style="1" customWidth="1"/>
    <col min="10" max="19" width="9.140625" style="1"/>
    <col min="20" max="20" width="2.42578125" style="1" customWidth="1"/>
    <col min="21" max="16384" width="9.140625" style="1"/>
  </cols>
  <sheetData>
    <row r="1" spans="1:20" ht="15.75" thickTop="1" x14ac:dyDescent="0.25">
      <c r="A1" s="35"/>
      <c r="B1" s="36"/>
      <c r="C1" s="36"/>
      <c r="D1" s="36"/>
      <c r="E1" s="36"/>
      <c r="F1" s="36"/>
      <c r="G1" s="36"/>
      <c r="H1" s="36"/>
      <c r="I1" s="35"/>
      <c r="J1" s="36"/>
      <c r="K1" s="36"/>
      <c r="L1" s="36"/>
      <c r="M1" s="36"/>
      <c r="N1" s="36"/>
      <c r="O1" s="36"/>
      <c r="P1" s="36"/>
      <c r="Q1" s="36"/>
      <c r="R1" s="36"/>
      <c r="S1" s="36"/>
      <c r="T1" s="37"/>
    </row>
    <row r="2" spans="1:20" x14ac:dyDescent="0.25">
      <c r="A2" s="38"/>
      <c r="I2" s="38"/>
      <c r="T2" s="39"/>
    </row>
    <row r="3" spans="1:20" x14ac:dyDescent="0.25">
      <c r="A3" s="38"/>
      <c r="I3" s="38"/>
      <c r="T3" s="39"/>
    </row>
    <row r="4" spans="1:20" x14ac:dyDescent="0.25">
      <c r="A4" s="38"/>
      <c r="I4" s="38"/>
      <c r="T4" s="39"/>
    </row>
    <row r="5" spans="1:20" x14ac:dyDescent="0.25">
      <c r="A5" s="38"/>
      <c r="I5" s="38"/>
      <c r="T5" s="39"/>
    </row>
    <row r="6" spans="1:20" x14ac:dyDescent="0.25">
      <c r="A6" s="38"/>
      <c r="I6" s="38"/>
      <c r="T6" s="39"/>
    </row>
    <row r="7" spans="1:20" x14ac:dyDescent="0.25">
      <c r="A7" s="38"/>
      <c r="I7" s="38"/>
      <c r="T7" s="39"/>
    </row>
    <row r="8" spans="1:20" x14ac:dyDescent="0.25">
      <c r="A8" s="38"/>
      <c r="I8" s="38"/>
      <c r="T8" s="39"/>
    </row>
    <row r="9" spans="1:20" x14ac:dyDescent="0.25">
      <c r="A9" s="38"/>
      <c r="I9" s="38"/>
      <c r="T9" s="39"/>
    </row>
    <row r="10" spans="1:20" x14ac:dyDescent="0.25">
      <c r="A10" s="38"/>
      <c r="I10" s="38"/>
      <c r="T10" s="39"/>
    </row>
    <row r="11" spans="1:20" x14ac:dyDescent="0.25">
      <c r="A11" s="38"/>
      <c r="I11" s="38"/>
      <c r="T11" s="39"/>
    </row>
    <row r="12" spans="1:20" x14ac:dyDescent="0.25">
      <c r="A12" s="38"/>
      <c r="I12" s="38"/>
      <c r="T12" s="39"/>
    </row>
    <row r="13" spans="1:20" x14ac:dyDescent="0.25">
      <c r="A13" s="38"/>
      <c r="I13" s="38"/>
      <c r="T13" s="39"/>
    </row>
    <row r="14" spans="1:20" x14ac:dyDescent="0.25">
      <c r="A14" s="38"/>
      <c r="I14" s="38"/>
      <c r="T14" s="39"/>
    </row>
    <row r="15" spans="1:20" x14ac:dyDescent="0.25">
      <c r="A15" s="38"/>
      <c r="I15" s="38"/>
      <c r="T15" s="39"/>
    </row>
    <row r="16" spans="1:20" x14ac:dyDescent="0.25">
      <c r="A16" s="38"/>
      <c r="I16" s="38"/>
      <c r="T16" s="39"/>
    </row>
    <row r="17" spans="1:20" x14ac:dyDescent="0.25">
      <c r="A17" s="38"/>
      <c r="I17" s="38"/>
      <c r="T17" s="39"/>
    </row>
    <row r="18" spans="1:20" x14ac:dyDescent="0.25">
      <c r="A18" s="38"/>
      <c r="I18" s="38"/>
      <c r="T18" s="39"/>
    </row>
    <row r="19" spans="1:20" x14ac:dyDescent="0.25">
      <c r="A19" s="38"/>
      <c r="I19" s="38"/>
      <c r="T19" s="39"/>
    </row>
    <row r="20" spans="1:20" x14ac:dyDescent="0.25">
      <c r="A20" s="38"/>
      <c r="I20" s="38"/>
      <c r="T20" s="39"/>
    </row>
    <row r="21" spans="1:20" x14ac:dyDescent="0.25">
      <c r="A21" s="38"/>
      <c r="I21" s="38"/>
      <c r="T21" s="39"/>
    </row>
    <row r="22" spans="1:20" x14ac:dyDescent="0.25">
      <c r="A22" s="38"/>
      <c r="I22" s="38"/>
      <c r="T22" s="39"/>
    </row>
    <row r="23" spans="1:20" x14ac:dyDescent="0.25">
      <c r="A23" s="38"/>
      <c r="I23" s="38"/>
      <c r="T23" s="39"/>
    </row>
    <row r="24" spans="1:20" x14ac:dyDescent="0.25">
      <c r="A24" s="38"/>
      <c r="I24" s="38"/>
      <c r="T24" s="39"/>
    </row>
    <row r="25" spans="1:20" x14ac:dyDescent="0.25">
      <c r="A25" s="38"/>
      <c r="I25" s="38"/>
      <c r="T25" s="39"/>
    </row>
    <row r="26" spans="1:20" x14ac:dyDescent="0.25">
      <c r="A26" s="38"/>
      <c r="I26" s="38"/>
      <c r="T26" s="39"/>
    </row>
    <row r="27" spans="1:20" x14ac:dyDescent="0.25">
      <c r="A27" s="38"/>
      <c r="I27" s="38"/>
      <c r="T27" s="39"/>
    </row>
    <row r="28" spans="1:20" x14ac:dyDescent="0.25">
      <c r="A28" s="38"/>
      <c r="I28" s="38"/>
      <c r="T28" s="39"/>
    </row>
    <row r="29" spans="1:20" x14ac:dyDescent="0.25">
      <c r="A29" s="38"/>
      <c r="I29" s="38"/>
      <c r="T29" s="39"/>
    </row>
    <row r="30" spans="1:20" x14ac:dyDescent="0.25">
      <c r="A30" s="38"/>
      <c r="I30" s="38"/>
      <c r="T30" s="39"/>
    </row>
    <row r="31" spans="1:20" x14ac:dyDescent="0.25">
      <c r="A31" s="38"/>
      <c r="I31" s="38"/>
      <c r="T31" s="39"/>
    </row>
    <row r="32" spans="1:20" x14ac:dyDescent="0.25">
      <c r="A32" s="38"/>
      <c r="I32" s="38"/>
      <c r="T32" s="39"/>
    </row>
    <row r="33" spans="1:20" x14ac:dyDescent="0.25">
      <c r="A33" s="38"/>
      <c r="I33" s="38"/>
      <c r="T33" s="39"/>
    </row>
    <row r="34" spans="1:20" x14ac:dyDescent="0.25">
      <c r="A34" s="38"/>
      <c r="I34" s="38"/>
      <c r="T34" s="39"/>
    </row>
    <row r="35" spans="1:20" x14ac:dyDescent="0.25">
      <c r="A35" s="38"/>
      <c r="I35" s="38"/>
      <c r="T35" s="39"/>
    </row>
    <row r="36" spans="1:20" x14ac:dyDescent="0.25">
      <c r="A36" s="38"/>
      <c r="I36" s="38"/>
      <c r="T36" s="39"/>
    </row>
    <row r="37" spans="1:20" ht="15.75" thickBot="1" x14ac:dyDescent="0.3">
      <c r="A37" s="40"/>
      <c r="B37" s="41"/>
      <c r="C37" s="41"/>
      <c r="D37" s="41"/>
      <c r="E37" s="41"/>
      <c r="F37" s="41"/>
      <c r="G37" s="41"/>
      <c r="H37" s="41"/>
      <c r="I37" s="40"/>
      <c r="J37" s="41"/>
      <c r="K37" s="41"/>
      <c r="L37" s="41"/>
      <c r="M37" s="41"/>
      <c r="N37" s="41"/>
      <c r="O37" s="41"/>
      <c r="P37" s="41"/>
      <c r="Q37" s="41"/>
      <c r="R37" s="41"/>
      <c r="S37" s="41"/>
      <c r="T37" s="42"/>
    </row>
    <row r="38" spans="1:20" ht="15.75" thickTop="1" x14ac:dyDescent="0.25"/>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DA95F-3E84-46EB-BDBB-9C1E8D7EC498}">
  <sheetPr codeName="Sheet9"/>
  <dimension ref="A1:U39"/>
  <sheetViews>
    <sheetView showGridLines="0" tabSelected="1" zoomScale="70" zoomScaleNormal="70" workbookViewId="0">
      <selection activeCell="Y19" sqref="Y19"/>
    </sheetView>
  </sheetViews>
  <sheetFormatPr defaultColWidth="9.140625" defaultRowHeight="15" x14ac:dyDescent="0.25"/>
  <cols>
    <col min="1" max="8" width="9.140625" style="22"/>
    <col min="9" max="9" width="2.28515625" style="22" customWidth="1"/>
    <col min="10" max="20" width="9.140625" style="22"/>
    <col min="21" max="21" width="2.42578125" style="22" customWidth="1"/>
    <col min="22" max="16384" width="9.140625" style="22"/>
  </cols>
  <sheetData>
    <row r="1" spans="1:21" ht="15.75" thickTop="1" x14ac:dyDescent="0.25">
      <c r="A1" s="27"/>
      <c r="B1" s="28"/>
      <c r="C1" s="28"/>
      <c r="D1" s="28"/>
      <c r="E1" s="28"/>
      <c r="F1" s="28"/>
      <c r="G1" s="28"/>
      <c r="H1" s="28"/>
      <c r="I1" s="28"/>
      <c r="J1" s="27"/>
      <c r="K1" s="28"/>
      <c r="L1" s="28"/>
      <c r="M1" s="28"/>
      <c r="N1" s="28"/>
      <c r="O1" s="28"/>
      <c r="P1" s="28"/>
      <c r="Q1" s="28"/>
      <c r="R1" s="28"/>
      <c r="S1" s="28"/>
      <c r="T1" s="28"/>
      <c r="U1" s="29"/>
    </row>
    <row r="2" spans="1:21" x14ac:dyDescent="0.25">
      <c r="A2" s="30"/>
      <c r="J2" s="30"/>
      <c r="U2" s="31"/>
    </row>
    <row r="3" spans="1:21" x14ac:dyDescent="0.25">
      <c r="A3" s="30"/>
      <c r="J3" s="30"/>
      <c r="U3" s="31"/>
    </row>
    <row r="4" spans="1:21" x14ac:dyDescent="0.25">
      <c r="A4" s="30"/>
      <c r="J4" s="30"/>
      <c r="U4" s="31"/>
    </row>
    <row r="5" spans="1:21" x14ac:dyDescent="0.25">
      <c r="A5" s="30"/>
      <c r="J5" s="30"/>
      <c r="U5" s="31"/>
    </row>
    <row r="6" spans="1:21" x14ac:dyDescent="0.25">
      <c r="A6" s="30"/>
      <c r="J6" s="30"/>
      <c r="U6" s="31"/>
    </row>
    <row r="7" spans="1:21" x14ac:dyDescent="0.25">
      <c r="A7" s="30"/>
      <c r="J7" s="30"/>
      <c r="U7" s="31"/>
    </row>
    <row r="8" spans="1:21" x14ac:dyDescent="0.25">
      <c r="A8" s="30"/>
      <c r="J8" s="30"/>
      <c r="U8" s="31"/>
    </row>
    <row r="9" spans="1:21" x14ac:dyDescent="0.25">
      <c r="A9" s="30"/>
      <c r="J9" s="30"/>
      <c r="U9" s="31"/>
    </row>
    <row r="10" spans="1:21" x14ac:dyDescent="0.25">
      <c r="A10" s="30"/>
      <c r="J10" s="30"/>
      <c r="U10" s="31"/>
    </row>
    <row r="11" spans="1:21" x14ac:dyDescent="0.25">
      <c r="A11" s="30"/>
      <c r="J11" s="30"/>
      <c r="U11" s="31"/>
    </row>
    <row r="12" spans="1:21" x14ac:dyDescent="0.25">
      <c r="A12" s="30"/>
      <c r="J12" s="30"/>
      <c r="U12" s="31"/>
    </row>
    <row r="13" spans="1:21" x14ac:dyDescent="0.25">
      <c r="A13" s="30"/>
      <c r="J13" s="30"/>
      <c r="U13" s="31"/>
    </row>
    <row r="14" spans="1:21" x14ac:dyDescent="0.25">
      <c r="A14" s="30"/>
      <c r="J14" s="30"/>
      <c r="U14" s="31"/>
    </row>
    <row r="15" spans="1:21" x14ac:dyDescent="0.25">
      <c r="A15" s="30"/>
      <c r="J15" s="30"/>
      <c r="U15" s="31"/>
    </row>
    <row r="16" spans="1:21" x14ac:dyDescent="0.25">
      <c r="A16" s="30"/>
      <c r="J16" s="30"/>
      <c r="U16" s="31"/>
    </row>
    <row r="17" spans="1:21" x14ac:dyDescent="0.25">
      <c r="A17" s="30"/>
      <c r="J17" s="30"/>
      <c r="U17" s="31"/>
    </row>
    <row r="18" spans="1:21" x14ac:dyDescent="0.25">
      <c r="A18" s="30"/>
      <c r="J18" s="30"/>
      <c r="U18" s="31"/>
    </row>
    <row r="19" spans="1:21" x14ac:dyDescent="0.25">
      <c r="A19" s="30"/>
      <c r="J19" s="30"/>
      <c r="U19" s="31"/>
    </row>
    <row r="20" spans="1:21" x14ac:dyDescent="0.25">
      <c r="A20" s="30"/>
      <c r="J20" s="30"/>
      <c r="U20" s="31"/>
    </row>
    <row r="21" spans="1:21" x14ac:dyDescent="0.25">
      <c r="A21" s="30"/>
      <c r="J21" s="30"/>
      <c r="U21" s="31"/>
    </row>
    <row r="22" spans="1:21" x14ac:dyDescent="0.25">
      <c r="A22" s="30"/>
      <c r="J22" s="30"/>
      <c r="U22" s="31"/>
    </row>
    <row r="23" spans="1:21" x14ac:dyDescent="0.25">
      <c r="A23" s="30"/>
      <c r="J23" s="30"/>
      <c r="U23" s="31"/>
    </row>
    <row r="24" spans="1:21" x14ac:dyDescent="0.25">
      <c r="A24" s="30"/>
      <c r="J24" s="30"/>
      <c r="U24" s="31"/>
    </row>
    <row r="25" spans="1:21" x14ac:dyDescent="0.25">
      <c r="A25" s="30"/>
      <c r="J25" s="30"/>
      <c r="U25" s="31"/>
    </row>
    <row r="26" spans="1:21" x14ac:dyDescent="0.25">
      <c r="A26" s="30"/>
      <c r="J26" s="30"/>
      <c r="U26" s="31"/>
    </row>
    <row r="27" spans="1:21" x14ac:dyDescent="0.25">
      <c r="A27" s="30"/>
      <c r="J27" s="30"/>
      <c r="U27" s="31"/>
    </row>
    <row r="28" spans="1:21" x14ac:dyDescent="0.25">
      <c r="A28" s="30"/>
      <c r="J28" s="30"/>
      <c r="U28" s="31"/>
    </row>
    <row r="29" spans="1:21" x14ac:dyDescent="0.25">
      <c r="A29" s="30"/>
      <c r="J29" s="30"/>
      <c r="U29" s="31"/>
    </row>
    <row r="30" spans="1:21" x14ac:dyDescent="0.25">
      <c r="A30" s="30"/>
      <c r="J30" s="30"/>
      <c r="U30" s="31"/>
    </row>
    <row r="31" spans="1:21" x14ac:dyDescent="0.25">
      <c r="A31" s="30"/>
      <c r="J31" s="30"/>
      <c r="U31" s="31"/>
    </row>
    <row r="32" spans="1:21" x14ac:dyDescent="0.25">
      <c r="A32" s="30"/>
      <c r="J32" s="30"/>
      <c r="U32" s="31"/>
    </row>
    <row r="33" spans="1:21" x14ac:dyDescent="0.25">
      <c r="A33" s="30"/>
      <c r="J33" s="30"/>
      <c r="U33" s="31"/>
    </row>
    <row r="34" spans="1:21" x14ac:dyDescent="0.25">
      <c r="A34" s="30"/>
      <c r="J34" s="30"/>
      <c r="U34" s="31"/>
    </row>
    <row r="35" spans="1:21" x14ac:dyDescent="0.25">
      <c r="A35" s="30"/>
      <c r="J35" s="30"/>
      <c r="U35" s="31"/>
    </row>
    <row r="36" spans="1:21" x14ac:dyDescent="0.25">
      <c r="A36" s="30"/>
      <c r="J36" s="30"/>
      <c r="U36" s="31"/>
    </row>
    <row r="37" spans="1:21" x14ac:dyDescent="0.25">
      <c r="A37" s="30"/>
      <c r="J37" s="30"/>
      <c r="U37" s="31"/>
    </row>
    <row r="38" spans="1:21" ht="6" customHeight="1" thickBot="1" x14ac:dyDescent="0.3">
      <c r="A38" s="32"/>
      <c r="B38" s="33"/>
      <c r="C38" s="33"/>
      <c r="D38" s="33"/>
      <c r="E38" s="33"/>
      <c r="F38" s="33"/>
      <c r="G38" s="33"/>
      <c r="H38" s="33"/>
      <c r="I38" s="33"/>
      <c r="J38" s="32"/>
      <c r="K38" s="33"/>
      <c r="L38" s="33"/>
      <c r="M38" s="33"/>
      <c r="N38" s="33"/>
      <c r="O38" s="33"/>
      <c r="P38" s="33"/>
      <c r="Q38" s="33"/>
      <c r="R38" s="33"/>
      <c r="S38" s="33"/>
      <c r="T38" s="33"/>
      <c r="U38" s="34"/>
    </row>
    <row r="39" spans="1:21" ht="15.75" thickTop="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00B6E-228A-487C-97A1-27E775BEADB1}">
  <sheetPr codeName="Sheet10"/>
  <dimension ref="A1:U39"/>
  <sheetViews>
    <sheetView zoomScale="70" zoomScaleNormal="70" workbookViewId="0">
      <selection activeCell="V15" sqref="V15"/>
    </sheetView>
  </sheetViews>
  <sheetFormatPr defaultColWidth="9.140625" defaultRowHeight="15" x14ac:dyDescent="0.25"/>
  <cols>
    <col min="1" max="7" width="9.140625" style="22"/>
    <col min="8" max="8" width="9.5703125" style="22" customWidth="1"/>
    <col min="9" max="9" width="1.140625" style="22" customWidth="1"/>
    <col min="10" max="10" width="5.85546875" style="22" customWidth="1"/>
    <col min="11" max="20" width="9.140625" style="22"/>
    <col min="21" max="21" width="2.28515625" style="22" customWidth="1"/>
    <col min="22" max="16384" width="9.140625" style="22"/>
  </cols>
  <sheetData>
    <row r="1" spans="1:21" ht="15.75" thickTop="1" x14ac:dyDescent="0.25">
      <c r="A1" s="27"/>
      <c r="B1" s="28"/>
      <c r="C1" s="28"/>
      <c r="D1" s="28"/>
      <c r="E1" s="28"/>
      <c r="F1" s="28"/>
      <c r="G1" s="28"/>
      <c r="H1" s="28"/>
      <c r="I1" s="29"/>
      <c r="J1" s="27"/>
      <c r="K1" s="28"/>
      <c r="L1" s="28"/>
      <c r="M1" s="28"/>
      <c r="N1" s="28"/>
      <c r="O1" s="28"/>
      <c r="P1" s="28"/>
      <c r="Q1" s="28"/>
      <c r="R1" s="28"/>
      <c r="S1" s="28"/>
      <c r="T1" s="28"/>
      <c r="U1" s="29"/>
    </row>
    <row r="2" spans="1:21" x14ac:dyDescent="0.25">
      <c r="A2" s="30"/>
      <c r="I2" s="31"/>
      <c r="J2" s="30"/>
      <c r="U2" s="31"/>
    </row>
    <row r="3" spans="1:21" x14ac:dyDescent="0.25">
      <c r="A3" s="30"/>
      <c r="I3" s="31"/>
      <c r="J3" s="30"/>
      <c r="U3" s="31"/>
    </row>
    <row r="4" spans="1:21" x14ac:dyDescent="0.25">
      <c r="A4" s="30"/>
      <c r="I4" s="31"/>
      <c r="J4" s="30"/>
      <c r="U4" s="31"/>
    </row>
    <row r="5" spans="1:21" x14ac:dyDescent="0.25">
      <c r="A5" s="30"/>
      <c r="I5" s="31"/>
      <c r="J5" s="30"/>
      <c r="U5" s="31"/>
    </row>
    <row r="6" spans="1:21" x14ac:dyDescent="0.25">
      <c r="A6" s="30"/>
      <c r="I6" s="31"/>
      <c r="J6" s="30"/>
      <c r="U6" s="31"/>
    </row>
    <row r="7" spans="1:21" x14ac:dyDescent="0.25">
      <c r="A7" s="30"/>
      <c r="I7" s="31"/>
      <c r="J7" s="30"/>
      <c r="U7" s="31"/>
    </row>
    <row r="8" spans="1:21" x14ac:dyDescent="0.25">
      <c r="A8" s="30"/>
      <c r="I8" s="31"/>
      <c r="J8" s="30"/>
      <c r="U8" s="31"/>
    </row>
    <row r="9" spans="1:21" x14ac:dyDescent="0.25">
      <c r="A9" s="30"/>
      <c r="I9" s="31"/>
      <c r="J9" s="30"/>
      <c r="U9" s="31"/>
    </row>
    <row r="10" spans="1:21" x14ac:dyDescent="0.25">
      <c r="A10" s="30"/>
      <c r="I10" s="31"/>
      <c r="J10" s="30"/>
      <c r="U10" s="31"/>
    </row>
    <row r="11" spans="1:21" x14ac:dyDescent="0.25">
      <c r="A11" s="30"/>
      <c r="I11" s="31"/>
      <c r="J11" s="30"/>
      <c r="U11" s="31"/>
    </row>
    <row r="12" spans="1:21" x14ac:dyDescent="0.25">
      <c r="A12" s="30"/>
      <c r="I12" s="31"/>
      <c r="J12" s="30"/>
      <c r="U12" s="31"/>
    </row>
    <row r="13" spans="1:21" x14ac:dyDescent="0.25">
      <c r="A13" s="30"/>
      <c r="I13" s="31"/>
      <c r="J13" s="30"/>
      <c r="U13" s="31"/>
    </row>
    <row r="14" spans="1:21" x14ac:dyDescent="0.25">
      <c r="A14" s="30"/>
      <c r="I14" s="31"/>
      <c r="J14" s="30"/>
      <c r="U14" s="31"/>
    </row>
    <row r="15" spans="1:21" x14ac:dyDescent="0.25">
      <c r="A15" s="30"/>
      <c r="I15" s="31"/>
      <c r="J15" s="30"/>
      <c r="U15" s="31"/>
    </row>
    <row r="16" spans="1:21" x14ac:dyDescent="0.25">
      <c r="A16" s="30"/>
      <c r="I16" s="31"/>
      <c r="J16" s="30"/>
      <c r="U16" s="31"/>
    </row>
    <row r="17" spans="1:21" x14ac:dyDescent="0.25">
      <c r="A17" s="30"/>
      <c r="I17" s="31"/>
      <c r="J17" s="30"/>
      <c r="U17" s="31"/>
    </row>
    <row r="18" spans="1:21" x14ac:dyDescent="0.25">
      <c r="A18" s="30"/>
      <c r="I18" s="31"/>
      <c r="J18" s="30"/>
      <c r="U18" s="31"/>
    </row>
    <row r="19" spans="1:21" x14ac:dyDescent="0.25">
      <c r="A19" s="30"/>
      <c r="I19" s="31"/>
      <c r="J19" s="30"/>
      <c r="U19" s="31"/>
    </row>
    <row r="20" spans="1:21" x14ac:dyDescent="0.25">
      <c r="A20" s="30"/>
      <c r="I20" s="31"/>
      <c r="J20" s="30"/>
      <c r="U20" s="31"/>
    </row>
    <row r="21" spans="1:21" x14ac:dyDescent="0.25">
      <c r="A21" s="30"/>
      <c r="I21" s="31"/>
      <c r="J21" s="30"/>
      <c r="U21" s="31"/>
    </row>
    <row r="22" spans="1:21" x14ac:dyDescent="0.25">
      <c r="A22" s="30"/>
      <c r="I22" s="31"/>
      <c r="J22" s="30"/>
      <c r="U22" s="31"/>
    </row>
    <row r="23" spans="1:21" x14ac:dyDescent="0.25">
      <c r="A23" s="30"/>
      <c r="I23" s="31"/>
      <c r="J23" s="30"/>
      <c r="U23" s="31"/>
    </row>
    <row r="24" spans="1:21" x14ac:dyDescent="0.25">
      <c r="A24" s="30"/>
      <c r="I24" s="31"/>
      <c r="J24" s="30"/>
      <c r="U24" s="31"/>
    </row>
    <row r="25" spans="1:21" x14ac:dyDescent="0.25">
      <c r="A25" s="30"/>
      <c r="I25" s="31"/>
      <c r="J25" s="30"/>
      <c r="U25" s="31"/>
    </row>
    <row r="26" spans="1:21" x14ac:dyDescent="0.25">
      <c r="A26" s="30"/>
      <c r="I26" s="31"/>
      <c r="J26" s="30"/>
      <c r="U26" s="31"/>
    </row>
    <row r="27" spans="1:21" x14ac:dyDescent="0.25">
      <c r="A27" s="30"/>
      <c r="I27" s="31"/>
      <c r="J27" s="30"/>
      <c r="U27" s="31"/>
    </row>
    <row r="28" spans="1:21" x14ac:dyDescent="0.25">
      <c r="A28" s="30"/>
      <c r="I28" s="31"/>
      <c r="J28" s="30"/>
      <c r="U28" s="31"/>
    </row>
    <row r="29" spans="1:21" x14ac:dyDescent="0.25">
      <c r="A29" s="30"/>
      <c r="I29" s="31"/>
      <c r="J29" s="30"/>
      <c r="U29" s="31"/>
    </row>
    <row r="30" spans="1:21" x14ac:dyDescent="0.25">
      <c r="A30" s="30"/>
      <c r="I30" s="31"/>
      <c r="J30" s="30"/>
      <c r="U30" s="31"/>
    </row>
    <row r="31" spans="1:21" x14ac:dyDescent="0.25">
      <c r="A31" s="30"/>
      <c r="I31" s="31"/>
      <c r="J31" s="30"/>
      <c r="U31" s="31"/>
    </row>
    <row r="32" spans="1:21" x14ac:dyDescent="0.25">
      <c r="A32" s="30"/>
      <c r="I32" s="31"/>
      <c r="J32" s="30"/>
      <c r="U32" s="31"/>
    </row>
    <row r="33" spans="1:21" x14ac:dyDescent="0.25">
      <c r="A33" s="30"/>
      <c r="I33" s="31"/>
      <c r="J33" s="30"/>
      <c r="U33" s="31"/>
    </row>
    <row r="34" spans="1:21" x14ac:dyDescent="0.25">
      <c r="A34" s="30"/>
      <c r="I34" s="31"/>
      <c r="J34" s="30"/>
      <c r="U34" s="31"/>
    </row>
    <row r="35" spans="1:21" x14ac:dyDescent="0.25">
      <c r="A35" s="30"/>
      <c r="I35" s="31"/>
      <c r="J35" s="30"/>
      <c r="U35" s="31"/>
    </row>
    <row r="36" spans="1:21" x14ac:dyDescent="0.25">
      <c r="A36" s="30"/>
      <c r="I36" s="31"/>
      <c r="J36" s="30"/>
      <c r="U36" s="31"/>
    </row>
    <row r="37" spans="1:21" x14ac:dyDescent="0.25">
      <c r="A37" s="30"/>
      <c r="I37" s="31"/>
      <c r="J37" s="30"/>
      <c r="U37" s="31"/>
    </row>
    <row r="38" spans="1:21" ht="8.4499999999999993" customHeight="1" thickBot="1" x14ac:dyDescent="0.3">
      <c r="A38" s="32"/>
      <c r="B38" s="33"/>
      <c r="C38" s="33"/>
      <c r="D38" s="33"/>
      <c r="E38" s="33"/>
      <c r="F38" s="33"/>
      <c r="G38" s="33"/>
      <c r="H38" s="33"/>
      <c r="I38" s="34"/>
      <c r="J38" s="32"/>
      <c r="K38" s="33"/>
      <c r="L38" s="33"/>
      <c r="M38" s="33"/>
      <c r="N38" s="33"/>
      <c r="O38" s="33"/>
      <c r="P38" s="33"/>
      <c r="Q38" s="33"/>
      <c r="R38" s="33"/>
      <c r="S38" s="33"/>
      <c r="T38" s="33"/>
      <c r="U38" s="34"/>
    </row>
    <row r="39" spans="1:21" ht="15.75" thickTop="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8828A-5854-4944-86A5-EF55FE142694}">
  <dimension ref="A1:N97"/>
  <sheetViews>
    <sheetView topLeftCell="A49" workbookViewId="0">
      <selection activeCell="F12" sqref="F12"/>
    </sheetView>
  </sheetViews>
  <sheetFormatPr defaultColWidth="9.140625" defaultRowHeight="15" x14ac:dyDescent="0.25"/>
  <cols>
    <col min="1" max="1" width="14.85546875" style="44" bestFit="1" customWidth="1"/>
    <col min="2" max="2" width="18" style="44" bestFit="1" customWidth="1"/>
    <col min="3" max="3" width="12" style="44" bestFit="1" customWidth="1"/>
    <col min="4" max="4" width="16.85546875" style="44" bestFit="1" customWidth="1"/>
    <col min="5" max="7" width="14.28515625" style="44" bestFit="1" customWidth="1"/>
    <col min="8" max="8" width="18" style="44" bestFit="1" customWidth="1"/>
    <col min="9" max="9" width="12" style="44" bestFit="1" customWidth="1"/>
    <col min="10" max="10" width="13.28515625" style="44" bestFit="1" customWidth="1"/>
    <col min="11" max="12" width="12.5703125" style="44" bestFit="1" customWidth="1"/>
    <col min="13" max="14" width="14.28515625" style="44" bestFit="1" customWidth="1"/>
    <col min="15" max="16384" width="9.140625" style="44"/>
  </cols>
  <sheetData>
    <row r="1" spans="1:10" x14ac:dyDescent="0.25">
      <c r="A1" s="52" t="s">
        <v>83</v>
      </c>
      <c r="B1" s="52" t="s">
        <v>65</v>
      </c>
      <c r="C1" s="52" t="s">
        <v>78</v>
      </c>
      <c r="D1" s="52" t="s">
        <v>84</v>
      </c>
      <c r="G1" s="52" t="s">
        <v>78</v>
      </c>
      <c r="H1" s="52" t="s">
        <v>79</v>
      </c>
      <c r="I1" s="52" t="s">
        <v>81</v>
      </c>
      <c r="J1" s="44" t="s">
        <v>87</v>
      </c>
    </row>
    <row r="2" spans="1:10" x14ac:dyDescent="0.25">
      <c r="A2" s="53">
        <f>GETPIVOTDATA("[Measures].[Sum of Qty]",$A$75)</f>
        <v>589</v>
      </c>
      <c r="B2" s="53">
        <f>GETPIVOTDATA("[Measures].[Sum of CBM]",$A$89)</f>
        <v>36387.768999999993</v>
      </c>
      <c r="C2" s="53">
        <f>GETPIVOTDATA("[Measures].[Sum of Amount]",$A$59)</f>
        <v>10142813540</v>
      </c>
      <c r="D2" s="53">
        <f>C2/B2</f>
        <v>278742.38566261105</v>
      </c>
      <c r="G2" s="53">
        <f>GETPIVOTDATA("[Measures].[Sum of Amount]",$A$8,"[TRANSPORTATION_COST___RAW_DATA___FACTORY].[Branch]","[TRANSPORTATION_COST___RAW_DATA___FACTORY].[Branch].&amp;[TOTAL]")</f>
        <v>10142813540</v>
      </c>
      <c r="H2" s="54">
        <f>I2/G2</f>
        <v>1</v>
      </c>
      <c r="I2" s="55">
        <f>GETPIVOTDATA("[Measures].[Sum of Amount]",$A$34)</f>
        <v>10142813540</v>
      </c>
      <c r="J2" s="48">
        <f>-(GETPIVOTDATA("[Measures].[Sum of Amount]",$A$8)-GETPIVOTDATA("[Measures].[Sum of Amount]",$A$8,"[TRANSPORTATION_COST___RAW_DATA___FACTORY].[Branch]","[TRANSPORTATION_COST___RAW_DATA___FACTORY].[Branch].&amp;[TOTAL]")-GETPIVOTDATA("[Measures].[Sum of Amount]",$A$8,"[TRANSPORTATION_COST___RAW_DATA___FACTORY].[Branch]","[TRANSPORTATION_COST___RAW_DATA___FACTORY].[Branch].&amp;[TOTAL]"))</f>
        <v>1200000</v>
      </c>
    </row>
    <row r="3" spans="1:10" x14ac:dyDescent="0.25">
      <c r="G3" s="49"/>
      <c r="H3" s="51"/>
      <c r="I3" s="50"/>
    </row>
    <row r="4" spans="1:10" x14ac:dyDescent="0.25">
      <c r="G4" s="49"/>
      <c r="H4" s="51"/>
      <c r="I4" s="50"/>
    </row>
    <row r="5" spans="1:10" x14ac:dyDescent="0.25">
      <c r="G5" s="49"/>
      <c r="H5" s="51"/>
      <c r="I5" s="50"/>
    </row>
    <row r="6" spans="1:10" x14ac:dyDescent="0.25">
      <c r="G6" s="49"/>
      <c r="H6" s="51"/>
      <c r="I6" s="50"/>
    </row>
    <row r="7" spans="1:10" x14ac:dyDescent="0.25">
      <c r="G7" s="49"/>
      <c r="H7" s="51"/>
      <c r="I7" s="50"/>
    </row>
    <row r="8" spans="1:10" x14ac:dyDescent="0.25">
      <c r="A8" s="44" t="s">
        <v>77</v>
      </c>
      <c r="B8" s="44" t="s">
        <v>43</v>
      </c>
    </row>
    <row r="9" spans="1:10" x14ac:dyDescent="0.25">
      <c r="A9" s="44" t="s">
        <v>40</v>
      </c>
      <c r="B9" s="44" t="s">
        <v>19</v>
      </c>
      <c r="C9" s="44" t="s">
        <v>5</v>
      </c>
      <c r="D9" s="44" t="s">
        <v>28</v>
      </c>
      <c r="E9" s="44" t="s">
        <v>22</v>
      </c>
      <c r="F9" s="44" t="s">
        <v>12</v>
      </c>
      <c r="G9" s="44" t="s">
        <v>15</v>
      </c>
      <c r="H9" s="44" t="s">
        <v>76</v>
      </c>
      <c r="I9" s="44" t="s">
        <v>41</v>
      </c>
    </row>
    <row r="10" spans="1:10" x14ac:dyDescent="0.25">
      <c r="A10" s="45">
        <v>4</v>
      </c>
      <c r="B10" s="46">
        <v>413200000</v>
      </c>
      <c r="C10" s="46">
        <v>913500000</v>
      </c>
      <c r="D10" s="46">
        <v>2171482396</v>
      </c>
      <c r="E10" s="46">
        <v>3990898</v>
      </c>
      <c r="F10" s="46">
        <v>26910800</v>
      </c>
      <c r="G10" s="46">
        <v>25000000</v>
      </c>
      <c r="H10" s="46">
        <v>3555284094</v>
      </c>
      <c r="I10" s="60">
        <v>7109368188</v>
      </c>
    </row>
    <row r="11" spans="1:10" x14ac:dyDescent="0.25">
      <c r="A11" s="45">
        <v>5</v>
      </c>
      <c r="B11" s="46">
        <v>360000000</v>
      </c>
      <c r="C11" s="46">
        <v>687050000</v>
      </c>
      <c r="D11" s="46">
        <v>1508294602</v>
      </c>
      <c r="E11" s="46">
        <v>2331153</v>
      </c>
      <c r="F11" s="46">
        <v>21910800</v>
      </c>
      <c r="G11" s="46">
        <v>0</v>
      </c>
      <c r="H11" s="46">
        <v>2579586555</v>
      </c>
      <c r="I11" s="60">
        <v>5159173110</v>
      </c>
    </row>
    <row r="12" spans="1:10" x14ac:dyDescent="0.25">
      <c r="A12" s="45">
        <v>6</v>
      </c>
      <c r="B12" s="46">
        <v>176600000</v>
      </c>
      <c r="C12" s="46">
        <v>601200000</v>
      </c>
      <c r="D12" s="46">
        <v>1486466373</v>
      </c>
      <c r="E12" s="46">
        <v>4253543</v>
      </c>
      <c r="F12" s="46">
        <v>10955400</v>
      </c>
      <c r="G12" s="46">
        <v>0</v>
      </c>
      <c r="H12" s="46">
        <v>2279475316</v>
      </c>
      <c r="I12" s="60">
        <v>4558950632</v>
      </c>
    </row>
    <row r="13" spans="1:10" x14ac:dyDescent="0.25">
      <c r="A13" s="45">
        <v>7</v>
      </c>
      <c r="B13" s="46">
        <v>78650000</v>
      </c>
      <c r="C13" s="46">
        <v>184250000</v>
      </c>
      <c r="D13" s="46">
        <v>599414688</v>
      </c>
      <c r="E13" s="46">
        <v>1696000</v>
      </c>
      <c r="F13" s="46">
        <v>3651800</v>
      </c>
      <c r="G13" s="46">
        <v>0</v>
      </c>
      <c r="H13" s="46">
        <v>867662488</v>
      </c>
      <c r="I13" s="60">
        <v>1735324976</v>
      </c>
    </row>
    <row r="14" spans="1:10" x14ac:dyDescent="0.25">
      <c r="A14" s="45">
        <v>8</v>
      </c>
      <c r="B14" s="46">
        <v>77200000</v>
      </c>
      <c r="C14" s="46">
        <v>111350000</v>
      </c>
      <c r="D14" s="46">
        <v>663825931</v>
      </c>
      <c r="E14" s="46">
        <v>4777356</v>
      </c>
      <c r="F14" s="46">
        <v>3651800</v>
      </c>
      <c r="G14" s="46">
        <v>0</v>
      </c>
      <c r="H14" s="46">
        <v>860805087</v>
      </c>
      <c r="I14" s="60">
        <v>1721610174</v>
      </c>
    </row>
    <row r="15" spans="1:10" x14ac:dyDescent="0.25">
      <c r="A15" s="45" t="s">
        <v>41</v>
      </c>
      <c r="B15" s="46">
        <v>1105650000</v>
      </c>
      <c r="C15" s="46">
        <v>2497350000</v>
      </c>
      <c r="D15" s="46">
        <v>6429483990</v>
      </c>
      <c r="E15" s="46">
        <v>17048950</v>
      </c>
      <c r="F15" s="46">
        <v>67080600</v>
      </c>
      <c r="G15" s="46">
        <v>25000000</v>
      </c>
      <c r="H15" s="46">
        <v>10142813540</v>
      </c>
      <c r="I15" s="60">
        <v>20284427080</v>
      </c>
    </row>
    <row r="16" spans="1:10" x14ac:dyDescent="0.25">
      <c r="A16"/>
      <c r="B16"/>
      <c r="C16"/>
      <c r="D16"/>
      <c r="E16"/>
      <c r="F16"/>
      <c r="G16"/>
      <c r="H16"/>
      <c r="I16"/>
    </row>
    <row r="34" spans="1:9" x14ac:dyDescent="0.25">
      <c r="A34" s="44" t="s">
        <v>77</v>
      </c>
      <c r="B34" s="44" t="s">
        <v>43</v>
      </c>
      <c r="D34"/>
      <c r="E34"/>
      <c r="F34"/>
      <c r="G34"/>
      <c r="H34"/>
      <c r="I34"/>
    </row>
    <row r="35" spans="1:9" x14ac:dyDescent="0.25">
      <c r="A35" s="44" t="s">
        <v>40</v>
      </c>
      <c r="B35" s="44" t="s">
        <v>80</v>
      </c>
      <c r="C35" s="44" t="s">
        <v>41</v>
      </c>
      <c r="D35"/>
      <c r="E35"/>
      <c r="F35"/>
      <c r="G35"/>
      <c r="H35"/>
      <c r="I35"/>
    </row>
    <row r="36" spans="1:9" x14ac:dyDescent="0.25">
      <c r="A36" s="45">
        <v>4</v>
      </c>
      <c r="B36" s="46">
        <v>3555284094</v>
      </c>
      <c r="C36" s="60">
        <v>3555284094</v>
      </c>
      <c r="D36"/>
      <c r="E36"/>
      <c r="F36"/>
      <c r="G36"/>
      <c r="H36"/>
      <c r="I36"/>
    </row>
    <row r="37" spans="1:9" x14ac:dyDescent="0.25">
      <c r="A37" s="45">
        <v>5</v>
      </c>
      <c r="B37" s="46">
        <v>2579586555</v>
      </c>
      <c r="C37" s="60">
        <v>2579586555</v>
      </c>
      <c r="D37"/>
      <c r="E37"/>
      <c r="F37"/>
      <c r="G37"/>
      <c r="H37"/>
      <c r="I37"/>
    </row>
    <row r="38" spans="1:9" x14ac:dyDescent="0.25">
      <c r="A38" s="45">
        <v>6</v>
      </c>
      <c r="B38" s="46">
        <v>2279475316</v>
      </c>
      <c r="C38" s="60">
        <v>2279475316</v>
      </c>
      <c r="D38"/>
      <c r="E38"/>
      <c r="F38"/>
      <c r="G38"/>
      <c r="H38"/>
      <c r="I38"/>
    </row>
    <row r="39" spans="1:9" x14ac:dyDescent="0.25">
      <c r="A39" s="45">
        <v>7</v>
      </c>
      <c r="B39" s="46">
        <v>867662488</v>
      </c>
      <c r="C39" s="60">
        <v>867662488</v>
      </c>
      <c r="D39"/>
      <c r="E39"/>
      <c r="F39"/>
      <c r="G39"/>
      <c r="H39"/>
      <c r="I39"/>
    </row>
    <row r="40" spans="1:9" x14ac:dyDescent="0.25">
      <c r="A40" s="45">
        <v>8</v>
      </c>
      <c r="B40" s="46">
        <v>860805087</v>
      </c>
      <c r="C40" s="60">
        <v>860805087</v>
      </c>
      <c r="D40"/>
      <c r="E40"/>
      <c r="F40"/>
      <c r="G40"/>
      <c r="H40"/>
      <c r="I40"/>
    </row>
    <row r="41" spans="1:9" x14ac:dyDescent="0.25">
      <c r="A41" s="45" t="s">
        <v>41</v>
      </c>
      <c r="B41" s="46">
        <v>10142813540</v>
      </c>
      <c r="C41" s="60">
        <v>10142813540</v>
      </c>
      <c r="D41"/>
      <c r="E41"/>
      <c r="F41"/>
      <c r="G41"/>
      <c r="H41"/>
      <c r="I41"/>
    </row>
    <row r="42" spans="1:9" x14ac:dyDescent="0.25">
      <c r="A42"/>
      <c r="B42"/>
      <c r="C42"/>
      <c r="D42"/>
      <c r="E42"/>
      <c r="F42"/>
      <c r="G42"/>
      <c r="H42"/>
      <c r="I42"/>
    </row>
    <row r="45" spans="1:9" x14ac:dyDescent="0.25">
      <c r="A45" s="44" t="s">
        <v>61</v>
      </c>
      <c r="B45" s="44" t="s" vm="5">
        <v>76</v>
      </c>
    </row>
    <row r="47" spans="1:9" x14ac:dyDescent="0.25">
      <c r="A47" s="44" t="s">
        <v>40</v>
      </c>
      <c r="B47" s="44" t="s">
        <v>82</v>
      </c>
      <c r="C47"/>
      <c r="D47"/>
      <c r="E47"/>
      <c r="F47"/>
      <c r="G47"/>
      <c r="H47"/>
      <c r="I47"/>
    </row>
    <row r="48" spans="1:9" x14ac:dyDescent="0.25">
      <c r="A48" s="45" t="s">
        <v>69</v>
      </c>
      <c r="B48" s="50">
        <v>1721.25</v>
      </c>
      <c r="C48"/>
      <c r="D48"/>
      <c r="E48"/>
      <c r="F48"/>
      <c r="G48"/>
      <c r="H48"/>
      <c r="I48"/>
    </row>
    <row r="49" spans="1:14" x14ac:dyDescent="0.25">
      <c r="A49" s="45" t="s">
        <v>68</v>
      </c>
      <c r="B49" s="50">
        <v>5790.3806000000004</v>
      </c>
      <c r="C49"/>
      <c r="D49"/>
      <c r="E49"/>
      <c r="F49"/>
      <c r="G49"/>
      <c r="H49"/>
      <c r="I49"/>
    </row>
    <row r="50" spans="1:14" x14ac:dyDescent="0.25">
      <c r="A50" s="45" t="s">
        <v>70</v>
      </c>
      <c r="B50" s="50">
        <v>2479.1999999999998</v>
      </c>
      <c r="C50"/>
      <c r="D50"/>
      <c r="E50"/>
      <c r="F50"/>
      <c r="G50"/>
      <c r="H50"/>
      <c r="I50"/>
    </row>
    <row r="51" spans="1:14" x14ac:dyDescent="0.25">
      <c r="A51" s="45" t="s">
        <v>74</v>
      </c>
      <c r="B51" s="50">
        <v>0</v>
      </c>
      <c r="C51"/>
      <c r="D51"/>
      <c r="E51"/>
      <c r="F51"/>
      <c r="G51"/>
      <c r="H51"/>
      <c r="I51"/>
    </row>
    <row r="52" spans="1:14" x14ac:dyDescent="0.25">
      <c r="A52" s="45" t="s">
        <v>75</v>
      </c>
      <c r="B52" s="50">
        <v>5</v>
      </c>
      <c r="C52"/>
      <c r="D52"/>
      <c r="E52"/>
      <c r="F52"/>
      <c r="G52"/>
      <c r="H52"/>
      <c r="I52"/>
    </row>
    <row r="53" spans="1:14" x14ac:dyDescent="0.25">
      <c r="A53" s="45" t="s">
        <v>23</v>
      </c>
      <c r="B53" s="50">
        <v>146.98294000000001</v>
      </c>
      <c r="C53"/>
    </row>
    <row r="54" spans="1:14" x14ac:dyDescent="0.25">
      <c r="A54" s="45" t="s">
        <v>41</v>
      </c>
      <c r="B54" s="60">
        <v>10142.813539999999</v>
      </c>
      <c r="C54"/>
    </row>
    <row r="57" spans="1:14" x14ac:dyDescent="0.25">
      <c r="A57" s="44" t="s">
        <v>61</v>
      </c>
      <c r="B57" s="44" t="s" vm="5">
        <v>76</v>
      </c>
    </row>
    <row r="59" spans="1:14" x14ac:dyDescent="0.25">
      <c r="A59" s="44" t="s">
        <v>77</v>
      </c>
      <c r="B59" s="44" t="s">
        <v>43</v>
      </c>
      <c r="H59"/>
      <c r="I59"/>
      <c r="J59"/>
      <c r="K59"/>
      <c r="L59"/>
      <c r="M59"/>
      <c r="N59"/>
    </row>
    <row r="60" spans="1:14" x14ac:dyDescent="0.25">
      <c r="A60" s="44" t="s">
        <v>40</v>
      </c>
      <c r="B60" s="44">
        <v>4</v>
      </c>
      <c r="C60" s="44">
        <v>5</v>
      </c>
      <c r="D60" s="44">
        <v>6</v>
      </c>
      <c r="E60" s="44">
        <v>7</v>
      </c>
      <c r="F60" s="44">
        <v>8</v>
      </c>
      <c r="G60" s="44" t="s">
        <v>41</v>
      </c>
      <c r="H60"/>
      <c r="I60"/>
      <c r="J60"/>
      <c r="K60"/>
      <c r="L60"/>
      <c r="M60"/>
      <c r="N60"/>
    </row>
    <row r="61" spans="1:14" x14ac:dyDescent="0.25">
      <c r="A61" s="45" t="s">
        <v>69</v>
      </c>
      <c r="B61" s="50">
        <v>117750000</v>
      </c>
      <c r="C61" s="50">
        <v>404750000</v>
      </c>
      <c r="D61" s="50">
        <v>767500000</v>
      </c>
      <c r="E61" s="50">
        <v>252500000</v>
      </c>
      <c r="F61" s="50">
        <v>178750000</v>
      </c>
      <c r="G61" s="50">
        <v>1721250000</v>
      </c>
      <c r="H61"/>
      <c r="I61"/>
      <c r="J61"/>
      <c r="K61"/>
      <c r="L61"/>
      <c r="M61"/>
      <c r="N61"/>
    </row>
    <row r="62" spans="1:14" x14ac:dyDescent="0.25">
      <c r="A62" s="45" t="s">
        <v>68</v>
      </c>
      <c r="B62" s="50">
        <v>2884210800</v>
      </c>
      <c r="C62" s="50">
        <v>1390010800</v>
      </c>
      <c r="D62" s="50">
        <v>858155400</v>
      </c>
      <c r="E62" s="50">
        <v>325051800</v>
      </c>
      <c r="F62" s="50">
        <v>332951800</v>
      </c>
      <c r="G62" s="50">
        <v>5790380600</v>
      </c>
      <c r="H62"/>
      <c r="I62"/>
      <c r="J62"/>
      <c r="K62"/>
      <c r="L62"/>
      <c r="M62"/>
      <c r="N62"/>
    </row>
    <row r="63" spans="1:14" x14ac:dyDescent="0.25">
      <c r="A63" s="45" t="s">
        <v>70</v>
      </c>
      <c r="B63" s="50">
        <v>527900000</v>
      </c>
      <c r="C63" s="50">
        <v>727200000</v>
      </c>
      <c r="D63" s="50">
        <v>633200000</v>
      </c>
      <c r="E63" s="50">
        <v>270900000</v>
      </c>
      <c r="F63" s="50">
        <v>320000000</v>
      </c>
      <c r="G63" s="50">
        <v>2479200000</v>
      </c>
      <c r="H63"/>
      <c r="I63"/>
      <c r="J63"/>
      <c r="K63"/>
      <c r="L63"/>
      <c r="M63"/>
      <c r="N63"/>
    </row>
    <row r="64" spans="1:14" x14ac:dyDescent="0.25">
      <c r="A64" s="45" t="s">
        <v>74</v>
      </c>
      <c r="B64" s="50">
        <v>0</v>
      </c>
      <c r="C64" s="50">
        <v>0</v>
      </c>
      <c r="D64" s="50">
        <v>0</v>
      </c>
      <c r="E64" s="50">
        <v>0</v>
      </c>
      <c r="F64" s="50">
        <v>0</v>
      </c>
      <c r="G64" s="50">
        <v>0</v>
      </c>
      <c r="H64"/>
      <c r="I64"/>
      <c r="J64"/>
      <c r="K64"/>
      <c r="L64"/>
      <c r="M64"/>
      <c r="N64"/>
    </row>
    <row r="65" spans="1:14" x14ac:dyDescent="0.25">
      <c r="A65" s="45" t="s">
        <v>75</v>
      </c>
      <c r="B65" s="50">
        <v>5000000</v>
      </c>
      <c r="C65" s="50">
        <v>0</v>
      </c>
      <c r="D65" s="50">
        <v>0</v>
      </c>
      <c r="E65" s="50">
        <v>0</v>
      </c>
      <c r="F65" s="50">
        <v>0</v>
      </c>
      <c r="G65" s="50">
        <v>5000000</v>
      </c>
      <c r="H65"/>
      <c r="I65"/>
      <c r="J65"/>
      <c r="K65"/>
      <c r="L65"/>
      <c r="M65"/>
      <c r="N65"/>
    </row>
    <row r="66" spans="1:14" x14ac:dyDescent="0.25">
      <c r="A66" s="45" t="s">
        <v>23</v>
      </c>
      <c r="B66" s="50">
        <v>20423294</v>
      </c>
      <c r="C66" s="50">
        <v>57625755</v>
      </c>
      <c r="D66" s="50">
        <v>20619916</v>
      </c>
      <c r="E66" s="50">
        <v>19210688</v>
      </c>
      <c r="F66" s="50">
        <v>29103287</v>
      </c>
      <c r="G66" s="50">
        <v>146982940</v>
      </c>
      <c r="H66"/>
      <c r="I66"/>
      <c r="J66"/>
      <c r="K66"/>
      <c r="L66"/>
      <c r="M66"/>
      <c r="N66"/>
    </row>
    <row r="67" spans="1:14" x14ac:dyDescent="0.25">
      <c r="A67" s="45" t="s">
        <v>41</v>
      </c>
      <c r="B67" s="60">
        <v>3555284094</v>
      </c>
      <c r="C67" s="60">
        <v>2579586555</v>
      </c>
      <c r="D67" s="60">
        <v>2279475316</v>
      </c>
      <c r="E67" s="60">
        <v>867662488</v>
      </c>
      <c r="F67" s="60">
        <v>860805087</v>
      </c>
      <c r="G67" s="60">
        <v>10142813540</v>
      </c>
      <c r="H67"/>
      <c r="I67"/>
      <c r="J67"/>
      <c r="K67"/>
      <c r="L67"/>
      <c r="M67"/>
      <c r="N67"/>
    </row>
    <row r="73" spans="1:14" x14ac:dyDescent="0.25">
      <c r="A73" s="44" t="s">
        <v>61</v>
      </c>
      <c r="B73" s="44" t="s" vm="5">
        <v>76</v>
      </c>
    </row>
    <row r="75" spans="1:14" x14ac:dyDescent="0.25">
      <c r="A75" s="44" t="s">
        <v>85</v>
      </c>
      <c r="B75" s="44" t="s">
        <v>43</v>
      </c>
    </row>
    <row r="76" spans="1:14" x14ac:dyDescent="0.25">
      <c r="A76" s="44" t="s">
        <v>40</v>
      </c>
      <c r="B76" s="44">
        <v>4</v>
      </c>
      <c r="C76" s="44">
        <v>5</v>
      </c>
      <c r="D76" s="44">
        <v>6</v>
      </c>
      <c r="E76" s="44">
        <v>7</v>
      </c>
      <c r="F76" s="44">
        <v>8</v>
      </c>
      <c r="G76" s="44" t="s">
        <v>41</v>
      </c>
    </row>
    <row r="77" spans="1:14" x14ac:dyDescent="0.25">
      <c r="A77" s="45" t="s">
        <v>69</v>
      </c>
      <c r="B77" s="50">
        <v>7</v>
      </c>
      <c r="C77" s="50">
        <v>20</v>
      </c>
      <c r="D77" s="50">
        <v>39</v>
      </c>
      <c r="E77" s="50">
        <v>15</v>
      </c>
      <c r="F77" s="50">
        <v>11</v>
      </c>
      <c r="G77" s="50">
        <v>92</v>
      </c>
    </row>
    <row r="78" spans="1:14" x14ac:dyDescent="0.25">
      <c r="A78" s="45" t="s">
        <v>68</v>
      </c>
      <c r="B78" s="50">
        <v>135</v>
      </c>
      <c r="C78" s="50">
        <v>70</v>
      </c>
      <c r="D78" s="50">
        <v>54</v>
      </c>
      <c r="E78" s="50">
        <v>21</v>
      </c>
      <c r="F78" s="50">
        <v>22</v>
      </c>
      <c r="G78" s="50">
        <v>302</v>
      </c>
    </row>
    <row r="79" spans="1:14" x14ac:dyDescent="0.25">
      <c r="A79" s="45" t="s">
        <v>70</v>
      </c>
      <c r="B79" s="50">
        <v>34</v>
      </c>
      <c r="C79" s="50">
        <v>37</v>
      </c>
      <c r="D79" s="50">
        <v>31</v>
      </c>
      <c r="E79" s="50">
        <v>17</v>
      </c>
      <c r="F79" s="50">
        <v>20</v>
      </c>
      <c r="G79" s="50">
        <v>139</v>
      </c>
    </row>
    <row r="80" spans="1:14" x14ac:dyDescent="0.25">
      <c r="A80" s="45" t="s">
        <v>74</v>
      </c>
      <c r="B80" s="50">
        <v>4</v>
      </c>
      <c r="C80" s="50">
        <v>2</v>
      </c>
      <c r="D80" s="50">
        <v>0</v>
      </c>
      <c r="E80" s="50">
        <v>0</v>
      </c>
      <c r="F80" s="50">
        <v>0</v>
      </c>
      <c r="G80" s="50">
        <v>6</v>
      </c>
    </row>
    <row r="81" spans="1:7" x14ac:dyDescent="0.25">
      <c r="A81" s="45" t="s">
        <v>75</v>
      </c>
      <c r="B81" s="50">
        <v>2</v>
      </c>
      <c r="C81" s="50">
        <v>0</v>
      </c>
      <c r="D81" s="50">
        <v>0</v>
      </c>
      <c r="E81" s="50">
        <v>0</v>
      </c>
      <c r="F81" s="50">
        <v>0</v>
      </c>
      <c r="G81" s="50">
        <v>2</v>
      </c>
    </row>
    <row r="82" spans="1:7" x14ac:dyDescent="0.25">
      <c r="A82" s="45" t="s">
        <v>23</v>
      </c>
      <c r="B82" s="50">
        <v>9</v>
      </c>
      <c r="C82" s="50">
        <v>5</v>
      </c>
      <c r="D82" s="50">
        <v>10</v>
      </c>
      <c r="E82" s="50">
        <v>7</v>
      </c>
      <c r="F82" s="50">
        <v>17</v>
      </c>
      <c r="G82" s="50">
        <v>48</v>
      </c>
    </row>
    <row r="83" spans="1:7" x14ac:dyDescent="0.25">
      <c r="A83" s="45" t="s">
        <v>41</v>
      </c>
      <c r="B83" s="60">
        <v>191</v>
      </c>
      <c r="C83" s="60">
        <v>134</v>
      </c>
      <c r="D83" s="60">
        <v>134</v>
      </c>
      <c r="E83" s="60">
        <v>60</v>
      </c>
      <c r="F83" s="60">
        <v>70</v>
      </c>
      <c r="G83" s="60">
        <v>589</v>
      </c>
    </row>
    <row r="87" spans="1:7" x14ac:dyDescent="0.25">
      <c r="A87" s="44" t="s">
        <v>61</v>
      </c>
      <c r="B87" s="44" t="s" vm="5">
        <v>76</v>
      </c>
    </row>
    <row r="89" spans="1:7" x14ac:dyDescent="0.25">
      <c r="A89" s="44" t="s">
        <v>86</v>
      </c>
      <c r="B89" s="44" t="s">
        <v>43</v>
      </c>
    </row>
    <row r="90" spans="1:7" x14ac:dyDescent="0.25">
      <c r="A90" s="44" t="s">
        <v>40</v>
      </c>
      <c r="B90" s="44">
        <v>4</v>
      </c>
      <c r="C90" s="44">
        <v>5</v>
      </c>
      <c r="D90" s="44">
        <v>6</v>
      </c>
      <c r="E90" s="44">
        <v>7</v>
      </c>
      <c r="F90" s="44">
        <v>8</v>
      </c>
      <c r="G90" s="44" t="s">
        <v>41</v>
      </c>
    </row>
    <row r="91" spans="1:7" x14ac:dyDescent="0.25">
      <c r="A91" s="45" t="s">
        <v>69</v>
      </c>
      <c r="B91" s="50">
        <v>466.86200000000002</v>
      </c>
      <c r="C91" s="50">
        <v>1403.8010000000002</v>
      </c>
      <c r="D91" s="50">
        <v>2727.6689999999999</v>
      </c>
      <c r="E91" s="50">
        <v>1013.7570000000001</v>
      </c>
      <c r="F91" s="50">
        <v>728.72500000000002</v>
      </c>
      <c r="G91" s="50">
        <v>6340.8140000000003</v>
      </c>
    </row>
    <row r="92" spans="1:7" x14ac:dyDescent="0.25">
      <c r="A92" s="45" t="s">
        <v>68</v>
      </c>
      <c r="B92" s="50">
        <v>8806.7529999999988</v>
      </c>
      <c r="C92" s="50">
        <v>4710.8310000000001</v>
      </c>
      <c r="D92" s="50">
        <v>3662.1899999999996</v>
      </c>
      <c r="E92" s="50">
        <v>1426.2099999999998</v>
      </c>
      <c r="F92" s="50">
        <v>1471.616</v>
      </c>
      <c r="G92" s="50">
        <v>20077.599999999999</v>
      </c>
    </row>
    <row r="93" spans="1:7" x14ac:dyDescent="0.25">
      <c r="A93" s="45" t="s">
        <v>70</v>
      </c>
      <c r="B93" s="50">
        <v>2294.7429999999999</v>
      </c>
      <c r="C93" s="50">
        <v>2577.6579999999999</v>
      </c>
      <c r="D93" s="50">
        <v>2171.4369999999999</v>
      </c>
      <c r="E93" s="50">
        <v>1141.7059999999997</v>
      </c>
      <c r="F93" s="50">
        <v>1340.414</v>
      </c>
      <c r="G93" s="50">
        <v>9525.9580000000005</v>
      </c>
    </row>
    <row r="94" spans="1:7" x14ac:dyDescent="0.25">
      <c r="A94" s="45" t="s">
        <v>74</v>
      </c>
      <c r="B94" s="50">
        <v>129.72</v>
      </c>
      <c r="C94" s="50">
        <v>133.703</v>
      </c>
      <c r="D94" s="50">
        <v>0</v>
      </c>
      <c r="E94" s="50">
        <v>0</v>
      </c>
      <c r="F94" s="50">
        <v>0</v>
      </c>
      <c r="G94" s="50">
        <v>263.423</v>
      </c>
    </row>
    <row r="95" spans="1:7" x14ac:dyDescent="0.25">
      <c r="A95" s="45" t="s">
        <v>75</v>
      </c>
      <c r="B95" s="50">
        <v>63.480000000000004</v>
      </c>
      <c r="C95" s="50">
        <v>0</v>
      </c>
      <c r="D95" s="50">
        <v>0</v>
      </c>
      <c r="E95" s="50">
        <v>0</v>
      </c>
      <c r="F95" s="50">
        <v>0</v>
      </c>
      <c r="G95" s="50">
        <v>63.480000000000004</v>
      </c>
    </row>
    <row r="96" spans="1:7" x14ac:dyDescent="0.25">
      <c r="A96" s="45" t="s">
        <v>23</v>
      </c>
      <c r="B96" s="50">
        <v>17.920000000000002</v>
      </c>
      <c r="C96" s="50">
        <v>50.82</v>
      </c>
      <c r="D96" s="50">
        <v>21.28</v>
      </c>
      <c r="E96" s="50">
        <v>9.75</v>
      </c>
      <c r="F96" s="50">
        <v>16.724</v>
      </c>
      <c r="G96" s="50">
        <v>116.49400000000001</v>
      </c>
    </row>
    <row r="97" spans="1:7" x14ac:dyDescent="0.25">
      <c r="A97" s="45" t="s">
        <v>41</v>
      </c>
      <c r="B97" s="60">
        <v>11779.477999999997</v>
      </c>
      <c r="C97" s="60">
        <v>8876.8130000000001</v>
      </c>
      <c r="D97" s="60">
        <v>8582.5760000000009</v>
      </c>
      <c r="E97" s="60">
        <v>3591.4229999999998</v>
      </c>
      <c r="F97" s="60">
        <v>3557.4789999999998</v>
      </c>
      <c r="G97" s="60">
        <v>36387.768999999993</v>
      </c>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EFF83-C62A-41BD-A52B-F496D8491027}">
  <dimension ref="A1:U39"/>
  <sheetViews>
    <sheetView zoomScale="70" zoomScaleNormal="70" workbookViewId="0">
      <selection activeCell="W17" sqref="W17"/>
    </sheetView>
  </sheetViews>
  <sheetFormatPr defaultColWidth="9.140625" defaultRowHeight="15" x14ac:dyDescent="0.25"/>
  <cols>
    <col min="1" max="8" width="9.140625" style="47"/>
    <col min="9" max="9" width="2.42578125" style="47" customWidth="1"/>
    <col min="10" max="20" width="9.140625" style="47"/>
    <col min="21" max="21" width="2.5703125" style="47" customWidth="1"/>
    <col min="22" max="16384" width="9.140625" style="47"/>
  </cols>
  <sheetData>
    <row r="1" spans="1:21" ht="15.75" thickTop="1" x14ac:dyDescent="0.25">
      <c r="A1" s="27"/>
      <c r="B1" s="28"/>
      <c r="C1" s="28"/>
      <c r="D1" s="28"/>
      <c r="E1" s="28"/>
      <c r="F1" s="28"/>
      <c r="G1" s="28"/>
      <c r="H1" s="28"/>
      <c r="I1" s="29"/>
      <c r="J1" s="27"/>
      <c r="K1" s="28"/>
      <c r="L1" s="28"/>
      <c r="M1" s="28"/>
      <c r="N1" s="28"/>
      <c r="O1" s="28"/>
      <c r="P1" s="28"/>
      <c r="Q1" s="28"/>
      <c r="R1" s="28"/>
      <c r="S1" s="28"/>
      <c r="T1" s="28"/>
      <c r="U1" s="29"/>
    </row>
    <row r="2" spans="1:21" x14ac:dyDescent="0.25">
      <c r="A2" s="30"/>
      <c r="B2" s="22"/>
      <c r="C2" s="22"/>
      <c r="D2" s="22"/>
      <c r="E2" s="22"/>
      <c r="F2" s="22"/>
      <c r="G2" s="22"/>
      <c r="H2" s="22"/>
      <c r="I2" s="31"/>
      <c r="J2" s="30"/>
      <c r="K2" s="22"/>
      <c r="L2" s="22"/>
      <c r="M2" s="22"/>
      <c r="N2" s="22"/>
      <c r="O2" s="22"/>
      <c r="P2" s="22"/>
      <c r="Q2" s="22"/>
      <c r="R2" s="22"/>
      <c r="S2" s="22"/>
      <c r="T2" s="22"/>
      <c r="U2" s="31"/>
    </row>
    <row r="3" spans="1:21" x14ac:dyDescent="0.25">
      <c r="A3" s="30"/>
      <c r="B3" s="22"/>
      <c r="C3" s="22"/>
      <c r="D3" s="22"/>
      <c r="E3" s="22"/>
      <c r="F3" s="22"/>
      <c r="G3" s="22"/>
      <c r="H3" s="22"/>
      <c r="I3" s="31"/>
      <c r="J3" s="30"/>
      <c r="K3" s="22"/>
      <c r="L3" s="22"/>
      <c r="M3" s="22"/>
      <c r="N3" s="22"/>
      <c r="O3" s="22"/>
      <c r="P3" s="22"/>
      <c r="Q3" s="22"/>
      <c r="R3" s="22"/>
      <c r="S3" s="22"/>
      <c r="T3" s="22"/>
      <c r="U3" s="31"/>
    </row>
    <row r="4" spans="1:21" x14ac:dyDescent="0.25">
      <c r="A4" s="30"/>
      <c r="B4" s="22"/>
      <c r="C4" s="22"/>
      <c r="D4" s="22"/>
      <c r="E4" s="22"/>
      <c r="F4" s="22"/>
      <c r="G4" s="22"/>
      <c r="H4" s="22"/>
      <c r="I4" s="22"/>
      <c r="J4" s="22"/>
      <c r="K4" s="22"/>
      <c r="L4" s="22"/>
      <c r="M4" s="22"/>
      <c r="N4" s="22"/>
      <c r="O4" s="22"/>
      <c r="P4" s="22"/>
      <c r="Q4" s="22"/>
      <c r="R4" s="22"/>
      <c r="S4" s="22"/>
      <c r="T4" s="22"/>
      <c r="U4" s="31"/>
    </row>
    <row r="5" spans="1:21" x14ac:dyDescent="0.25">
      <c r="A5" s="30"/>
      <c r="B5" s="22"/>
      <c r="C5" s="22"/>
      <c r="D5" s="22"/>
      <c r="E5" s="22"/>
      <c r="F5" s="22"/>
      <c r="G5" s="22"/>
      <c r="H5" s="22"/>
      <c r="I5" s="22"/>
      <c r="J5" s="22"/>
      <c r="K5" s="22"/>
      <c r="L5" s="22"/>
      <c r="M5" s="22"/>
      <c r="N5" s="22"/>
      <c r="O5" s="22"/>
      <c r="P5" s="22"/>
      <c r="Q5" s="22"/>
      <c r="R5" s="22"/>
      <c r="S5" s="22"/>
      <c r="T5" s="22"/>
      <c r="U5" s="31"/>
    </row>
    <row r="6" spans="1:21" x14ac:dyDescent="0.25">
      <c r="A6" s="30"/>
      <c r="B6" s="22"/>
      <c r="C6" s="22"/>
      <c r="D6" s="22"/>
      <c r="E6" s="22"/>
      <c r="F6" s="22"/>
      <c r="G6" s="22"/>
      <c r="H6" s="22"/>
      <c r="I6" s="22"/>
      <c r="J6" s="22"/>
      <c r="K6" s="22"/>
      <c r="L6" s="22"/>
      <c r="M6" s="22"/>
      <c r="N6" s="22"/>
      <c r="O6" s="22"/>
      <c r="P6" s="22"/>
      <c r="Q6" s="22"/>
      <c r="R6" s="22"/>
      <c r="S6" s="22"/>
      <c r="T6" s="22"/>
      <c r="U6" s="31"/>
    </row>
    <row r="7" spans="1:21" x14ac:dyDescent="0.25">
      <c r="A7" s="30"/>
      <c r="B7" s="22"/>
      <c r="C7" s="22"/>
      <c r="D7" s="22"/>
      <c r="E7" s="22"/>
      <c r="F7" s="22"/>
      <c r="G7" s="22"/>
      <c r="H7" s="22"/>
      <c r="I7" s="22"/>
      <c r="J7" s="22"/>
      <c r="K7" s="22"/>
      <c r="L7" s="22"/>
      <c r="M7" s="22"/>
      <c r="N7" s="22"/>
      <c r="O7" s="22"/>
      <c r="P7" s="22"/>
      <c r="Q7" s="22"/>
      <c r="R7" s="22"/>
      <c r="S7" s="22"/>
      <c r="T7" s="22"/>
      <c r="U7" s="31"/>
    </row>
    <row r="8" spans="1:21" x14ac:dyDescent="0.25">
      <c r="A8" s="30"/>
      <c r="B8" s="22"/>
      <c r="C8" s="22"/>
      <c r="D8" s="22"/>
      <c r="E8" s="22"/>
      <c r="F8" s="22"/>
      <c r="G8" s="22"/>
      <c r="H8" s="22"/>
      <c r="I8" s="22"/>
      <c r="J8" s="22"/>
      <c r="K8" s="22"/>
      <c r="L8" s="22"/>
      <c r="M8" s="22"/>
      <c r="N8" s="22"/>
      <c r="O8" s="22"/>
      <c r="P8" s="22"/>
      <c r="Q8" s="22"/>
      <c r="R8" s="22"/>
      <c r="S8" s="22"/>
      <c r="T8" s="22"/>
      <c r="U8" s="31"/>
    </row>
    <row r="9" spans="1:21" x14ac:dyDescent="0.25">
      <c r="A9" s="30"/>
      <c r="B9" s="22"/>
      <c r="C9" s="22"/>
      <c r="D9" s="22"/>
      <c r="E9" s="22"/>
      <c r="F9" s="22"/>
      <c r="G9" s="22"/>
      <c r="H9" s="22"/>
      <c r="I9" s="22"/>
      <c r="J9" s="22"/>
      <c r="K9" s="22"/>
      <c r="L9" s="22"/>
      <c r="M9" s="22"/>
      <c r="N9" s="22"/>
      <c r="O9" s="22"/>
      <c r="P9" s="22"/>
      <c r="Q9" s="22"/>
      <c r="R9" s="22"/>
      <c r="S9" s="22"/>
      <c r="T9" s="22"/>
      <c r="U9" s="31"/>
    </row>
    <row r="10" spans="1:21" x14ac:dyDescent="0.25">
      <c r="A10" s="30"/>
      <c r="B10" s="22"/>
      <c r="C10" s="22"/>
      <c r="D10" s="22"/>
      <c r="E10" s="22"/>
      <c r="F10" s="22"/>
      <c r="G10" s="22"/>
      <c r="H10" s="22"/>
      <c r="I10" s="22"/>
      <c r="J10" s="22"/>
      <c r="K10" s="22"/>
      <c r="L10" s="22"/>
      <c r="M10" s="22"/>
      <c r="N10" s="22"/>
      <c r="O10" s="22"/>
      <c r="P10" s="22"/>
      <c r="Q10" s="22"/>
      <c r="R10" s="22"/>
      <c r="S10" s="22"/>
      <c r="T10" s="22"/>
      <c r="U10" s="31"/>
    </row>
    <row r="11" spans="1:21" x14ac:dyDescent="0.25">
      <c r="A11" s="30"/>
      <c r="B11" s="22"/>
      <c r="C11" s="22"/>
      <c r="D11" s="22"/>
      <c r="E11" s="22"/>
      <c r="F11" s="22"/>
      <c r="G11" s="22"/>
      <c r="H11" s="22"/>
      <c r="I11" s="22"/>
      <c r="J11" s="22"/>
      <c r="K11" s="22"/>
      <c r="L11" s="22"/>
      <c r="M11" s="22"/>
      <c r="N11" s="22"/>
      <c r="O11" s="22"/>
      <c r="P11" s="22"/>
      <c r="Q11" s="22"/>
      <c r="R11" s="22"/>
      <c r="S11" s="22"/>
      <c r="T11" s="22"/>
      <c r="U11" s="31"/>
    </row>
    <row r="12" spans="1:21" x14ac:dyDescent="0.25">
      <c r="A12" s="30"/>
      <c r="B12" s="22"/>
      <c r="C12" s="22"/>
      <c r="D12" s="22"/>
      <c r="E12" s="22"/>
      <c r="F12" s="22"/>
      <c r="G12" s="22"/>
      <c r="H12" s="22"/>
      <c r="I12" s="22"/>
      <c r="J12" s="22"/>
      <c r="K12" s="22"/>
      <c r="L12" s="22"/>
      <c r="M12" s="22"/>
      <c r="N12" s="22"/>
      <c r="O12" s="22"/>
      <c r="P12" s="22"/>
      <c r="Q12" s="22"/>
      <c r="R12" s="22"/>
      <c r="S12" s="22"/>
      <c r="T12" s="22"/>
      <c r="U12" s="31"/>
    </row>
    <row r="13" spans="1:21" x14ac:dyDescent="0.25">
      <c r="A13" s="30"/>
      <c r="B13" s="22"/>
      <c r="C13" s="22"/>
      <c r="D13" s="22"/>
      <c r="E13" s="22"/>
      <c r="F13" s="22"/>
      <c r="G13" s="22"/>
      <c r="H13" s="22"/>
      <c r="I13" s="22"/>
      <c r="J13" s="22"/>
      <c r="K13" s="22"/>
      <c r="L13" s="22"/>
      <c r="M13" s="22"/>
      <c r="N13" s="22"/>
      <c r="O13" s="22"/>
      <c r="P13" s="22"/>
      <c r="Q13" s="22"/>
      <c r="R13" s="22"/>
      <c r="S13" s="22"/>
      <c r="T13" s="22"/>
      <c r="U13" s="31"/>
    </row>
    <row r="14" spans="1:21" x14ac:dyDescent="0.25">
      <c r="A14" s="30"/>
      <c r="B14" s="22"/>
      <c r="C14" s="22"/>
      <c r="D14" s="22"/>
      <c r="E14" s="22"/>
      <c r="F14" s="22"/>
      <c r="G14" s="22"/>
      <c r="H14" s="22"/>
      <c r="I14" s="22"/>
      <c r="J14" s="22"/>
      <c r="K14" s="22"/>
      <c r="L14" s="22"/>
      <c r="M14" s="22"/>
      <c r="N14" s="22"/>
      <c r="O14" s="22"/>
      <c r="P14" s="22"/>
      <c r="Q14" s="22"/>
      <c r="R14" s="22"/>
      <c r="S14" s="22"/>
      <c r="T14" s="22"/>
      <c r="U14" s="31"/>
    </row>
    <row r="15" spans="1:21" x14ac:dyDescent="0.25">
      <c r="A15" s="30"/>
      <c r="B15" s="22"/>
      <c r="C15" s="22"/>
      <c r="D15" s="22"/>
      <c r="E15" s="22"/>
      <c r="F15" s="22"/>
      <c r="G15" s="22"/>
      <c r="H15" s="22"/>
      <c r="I15" s="22"/>
      <c r="J15" s="22"/>
      <c r="K15" s="22"/>
      <c r="L15" s="22"/>
      <c r="M15" s="22"/>
      <c r="N15" s="22"/>
      <c r="O15" s="22"/>
      <c r="P15" s="22"/>
      <c r="Q15" s="22"/>
      <c r="R15" s="22"/>
      <c r="S15" s="22"/>
      <c r="T15" s="22"/>
      <c r="U15" s="31"/>
    </row>
    <row r="16" spans="1:21" x14ac:dyDescent="0.25">
      <c r="A16" s="30"/>
      <c r="B16" s="22"/>
      <c r="C16" s="22"/>
      <c r="D16" s="22"/>
      <c r="E16" s="22"/>
      <c r="F16" s="22"/>
      <c r="G16" s="22"/>
      <c r="H16" s="22"/>
      <c r="I16" s="22"/>
      <c r="J16" s="22"/>
      <c r="K16" s="22"/>
      <c r="L16" s="22"/>
      <c r="M16" s="22"/>
      <c r="N16" s="22"/>
      <c r="O16" s="22"/>
      <c r="P16" s="22"/>
      <c r="Q16" s="22"/>
      <c r="R16" s="22"/>
      <c r="S16" s="22"/>
      <c r="T16" s="22"/>
      <c r="U16" s="31"/>
    </row>
    <row r="17" spans="1:21" x14ac:dyDescent="0.25">
      <c r="A17" s="30"/>
      <c r="B17" s="22"/>
      <c r="C17" s="22"/>
      <c r="D17" s="22"/>
      <c r="E17" s="22"/>
      <c r="F17" s="22"/>
      <c r="G17" s="22"/>
      <c r="H17" s="22"/>
      <c r="I17" s="22"/>
      <c r="J17" s="22"/>
      <c r="K17" s="22"/>
      <c r="L17" s="22"/>
      <c r="M17" s="22"/>
      <c r="N17" s="22"/>
      <c r="O17" s="22"/>
      <c r="P17" s="22"/>
      <c r="Q17" s="22"/>
      <c r="R17" s="22"/>
      <c r="S17" s="22"/>
      <c r="T17" s="22"/>
      <c r="U17" s="31"/>
    </row>
    <row r="18" spans="1:21" x14ac:dyDescent="0.25">
      <c r="A18" s="30"/>
      <c r="B18" s="22"/>
      <c r="C18" s="22"/>
      <c r="D18" s="22"/>
      <c r="E18" s="22"/>
      <c r="F18" s="22"/>
      <c r="G18" s="22"/>
      <c r="H18" s="22"/>
      <c r="I18" s="22"/>
      <c r="J18" s="22"/>
      <c r="K18" s="22"/>
      <c r="L18" s="22"/>
      <c r="M18" s="22"/>
      <c r="N18" s="22"/>
      <c r="O18" s="22"/>
      <c r="P18" s="22"/>
      <c r="Q18" s="22"/>
      <c r="R18" s="22"/>
      <c r="S18" s="22"/>
      <c r="T18" s="22"/>
      <c r="U18" s="31"/>
    </row>
    <row r="19" spans="1:21" x14ac:dyDescent="0.25">
      <c r="A19" s="30"/>
      <c r="B19" s="22"/>
      <c r="C19" s="22"/>
      <c r="D19" s="22"/>
      <c r="E19" s="22"/>
      <c r="F19" s="22"/>
      <c r="G19" s="22"/>
      <c r="H19" s="22"/>
      <c r="I19" s="22"/>
      <c r="J19" s="22"/>
      <c r="K19" s="22"/>
      <c r="L19" s="22"/>
      <c r="M19" s="22"/>
      <c r="N19" s="22"/>
      <c r="O19" s="22"/>
      <c r="P19" s="22"/>
      <c r="Q19" s="22"/>
      <c r="R19" s="22"/>
      <c r="S19" s="22"/>
      <c r="T19" s="22"/>
      <c r="U19" s="31"/>
    </row>
    <row r="20" spans="1:21" x14ac:dyDescent="0.25">
      <c r="A20" s="30"/>
      <c r="B20" s="22"/>
      <c r="C20" s="22"/>
      <c r="D20" s="22"/>
      <c r="E20" s="22"/>
      <c r="F20" s="22"/>
      <c r="G20" s="22"/>
      <c r="H20" s="22"/>
      <c r="I20" s="22"/>
      <c r="J20" s="22"/>
      <c r="K20" s="22"/>
      <c r="L20" s="22"/>
      <c r="M20" s="22"/>
      <c r="N20" s="22"/>
      <c r="O20" s="22"/>
      <c r="P20" s="22"/>
      <c r="Q20" s="22"/>
      <c r="R20" s="22"/>
      <c r="S20" s="22"/>
      <c r="T20" s="22"/>
      <c r="U20" s="31"/>
    </row>
    <row r="21" spans="1:21" x14ac:dyDescent="0.25">
      <c r="A21" s="30"/>
      <c r="B21" s="22"/>
      <c r="C21" s="22"/>
      <c r="D21" s="22"/>
      <c r="E21" s="22"/>
      <c r="F21" s="22"/>
      <c r="G21" s="22"/>
      <c r="H21" s="22"/>
      <c r="I21" s="22"/>
      <c r="J21" s="22"/>
      <c r="K21" s="22"/>
      <c r="L21" s="22"/>
      <c r="M21" s="22"/>
      <c r="N21" s="22"/>
      <c r="O21" s="22"/>
      <c r="P21" s="22"/>
      <c r="Q21" s="22"/>
      <c r="R21" s="22"/>
      <c r="S21" s="22"/>
      <c r="T21" s="22"/>
      <c r="U21" s="31"/>
    </row>
    <row r="22" spans="1:21" x14ac:dyDescent="0.25">
      <c r="A22" s="30"/>
      <c r="B22" s="22"/>
      <c r="C22" s="22"/>
      <c r="D22" s="22"/>
      <c r="E22" s="22"/>
      <c r="F22" s="22"/>
      <c r="G22" s="22"/>
      <c r="H22" s="22"/>
      <c r="I22" s="22"/>
      <c r="J22" s="22"/>
      <c r="K22" s="22"/>
      <c r="L22" s="22"/>
      <c r="M22" s="22"/>
      <c r="N22" s="22"/>
      <c r="O22" s="22"/>
      <c r="P22" s="22"/>
      <c r="Q22" s="22"/>
      <c r="R22" s="22"/>
      <c r="S22" s="22"/>
      <c r="T22" s="22"/>
      <c r="U22" s="31"/>
    </row>
    <row r="23" spans="1:21" x14ac:dyDescent="0.25">
      <c r="A23" s="30"/>
      <c r="B23" s="22"/>
      <c r="C23" s="22"/>
      <c r="D23" s="22"/>
      <c r="E23" s="22"/>
      <c r="F23" s="22"/>
      <c r="G23" s="22"/>
      <c r="H23" s="22"/>
      <c r="I23" s="22"/>
      <c r="J23" s="22"/>
      <c r="K23" s="22"/>
      <c r="L23" s="22"/>
      <c r="M23" s="22"/>
      <c r="N23" s="22"/>
      <c r="O23" s="22"/>
      <c r="P23" s="22"/>
      <c r="Q23" s="22"/>
      <c r="R23" s="22"/>
      <c r="S23" s="22"/>
      <c r="T23" s="22"/>
      <c r="U23" s="31"/>
    </row>
    <row r="24" spans="1:21" x14ac:dyDescent="0.25">
      <c r="A24" s="30"/>
      <c r="B24" s="22"/>
      <c r="C24" s="22"/>
      <c r="D24" s="22"/>
      <c r="E24" s="22"/>
      <c r="F24" s="22"/>
      <c r="G24" s="22"/>
      <c r="H24" s="22"/>
      <c r="I24" s="22"/>
      <c r="J24" s="22"/>
      <c r="K24" s="22"/>
      <c r="L24" s="22"/>
      <c r="M24" s="22"/>
      <c r="N24" s="22"/>
      <c r="O24" s="22"/>
      <c r="P24" s="22"/>
      <c r="Q24" s="22"/>
      <c r="R24" s="22"/>
      <c r="S24" s="22"/>
      <c r="T24" s="22"/>
      <c r="U24" s="31"/>
    </row>
    <row r="25" spans="1:21" x14ac:dyDescent="0.25">
      <c r="A25" s="30"/>
      <c r="B25" s="22"/>
      <c r="C25" s="22"/>
      <c r="D25" s="22"/>
      <c r="E25" s="22"/>
      <c r="F25" s="22"/>
      <c r="G25" s="22"/>
      <c r="H25" s="22"/>
      <c r="I25" s="22"/>
      <c r="J25" s="22"/>
      <c r="K25" s="22"/>
      <c r="L25" s="22"/>
      <c r="M25" s="22"/>
      <c r="N25" s="22"/>
      <c r="O25" s="22"/>
      <c r="P25" s="22"/>
      <c r="Q25" s="22"/>
      <c r="R25" s="22"/>
      <c r="S25" s="22"/>
      <c r="T25" s="22"/>
      <c r="U25" s="31"/>
    </row>
    <row r="26" spans="1:21" x14ac:dyDescent="0.25">
      <c r="A26" s="30"/>
      <c r="B26" s="22"/>
      <c r="C26" s="22"/>
      <c r="D26" s="22"/>
      <c r="E26" s="22"/>
      <c r="F26" s="22"/>
      <c r="G26" s="22"/>
      <c r="H26" s="22"/>
      <c r="I26" s="22"/>
      <c r="J26" s="22"/>
      <c r="K26" s="22"/>
      <c r="L26" s="22"/>
      <c r="M26" s="22"/>
      <c r="N26" s="22"/>
      <c r="O26" s="22"/>
      <c r="P26" s="22"/>
      <c r="Q26" s="22"/>
      <c r="R26" s="22"/>
      <c r="S26" s="22"/>
      <c r="T26" s="22"/>
      <c r="U26" s="31"/>
    </row>
    <row r="27" spans="1:21" x14ac:dyDescent="0.25">
      <c r="A27" s="30"/>
      <c r="B27" s="22"/>
      <c r="C27" s="22"/>
      <c r="D27" s="22"/>
      <c r="E27" s="22"/>
      <c r="F27" s="22"/>
      <c r="G27" s="22"/>
      <c r="H27" s="22"/>
      <c r="I27" s="22"/>
      <c r="J27" s="22"/>
      <c r="K27" s="22"/>
      <c r="L27" s="22"/>
      <c r="M27" s="22"/>
      <c r="N27" s="22"/>
      <c r="O27" s="22"/>
      <c r="P27" s="22"/>
      <c r="Q27" s="22"/>
      <c r="R27" s="22"/>
      <c r="S27" s="22"/>
      <c r="T27" s="22"/>
      <c r="U27" s="31"/>
    </row>
    <row r="28" spans="1:21" x14ac:dyDescent="0.25">
      <c r="A28" s="30"/>
      <c r="B28" s="22"/>
      <c r="C28" s="22"/>
      <c r="D28" s="22"/>
      <c r="E28" s="22"/>
      <c r="F28" s="22"/>
      <c r="G28" s="22"/>
      <c r="H28" s="22"/>
      <c r="I28" s="22"/>
      <c r="J28" s="22"/>
      <c r="K28" s="22"/>
      <c r="L28" s="22"/>
      <c r="M28" s="22"/>
      <c r="N28" s="22"/>
      <c r="O28" s="22"/>
      <c r="P28" s="22"/>
      <c r="Q28" s="22"/>
      <c r="R28" s="22"/>
      <c r="S28" s="22"/>
      <c r="T28" s="22"/>
      <c r="U28" s="31"/>
    </row>
    <row r="29" spans="1:21" x14ac:dyDescent="0.25">
      <c r="A29" s="30"/>
      <c r="B29" s="22"/>
      <c r="C29" s="22"/>
      <c r="D29" s="22"/>
      <c r="E29" s="22"/>
      <c r="F29" s="22"/>
      <c r="G29" s="22"/>
      <c r="H29" s="22"/>
      <c r="I29" s="22"/>
      <c r="J29" s="22"/>
      <c r="K29" s="22"/>
      <c r="L29" s="22"/>
      <c r="M29" s="22"/>
      <c r="N29" s="22"/>
      <c r="O29" s="22"/>
      <c r="P29" s="22"/>
      <c r="Q29" s="22"/>
      <c r="R29" s="22"/>
      <c r="S29" s="22"/>
      <c r="T29" s="22"/>
      <c r="U29" s="31"/>
    </row>
    <row r="30" spans="1:21" x14ac:dyDescent="0.25">
      <c r="A30" s="30"/>
      <c r="B30" s="22"/>
      <c r="C30" s="22"/>
      <c r="D30" s="22"/>
      <c r="E30" s="22"/>
      <c r="F30" s="22"/>
      <c r="G30" s="22"/>
      <c r="H30" s="22"/>
      <c r="I30" s="22"/>
      <c r="J30" s="22"/>
      <c r="K30" s="22"/>
      <c r="L30" s="22"/>
      <c r="M30" s="22"/>
      <c r="N30" s="22"/>
      <c r="O30" s="22"/>
      <c r="P30" s="22"/>
      <c r="Q30" s="22"/>
      <c r="R30" s="22"/>
      <c r="S30" s="22"/>
      <c r="T30" s="22"/>
      <c r="U30" s="31"/>
    </row>
    <row r="31" spans="1:21" x14ac:dyDescent="0.25">
      <c r="A31" s="30"/>
      <c r="B31" s="22"/>
      <c r="C31" s="22"/>
      <c r="D31" s="22"/>
      <c r="E31" s="22"/>
      <c r="F31" s="22"/>
      <c r="G31" s="22"/>
      <c r="H31" s="22"/>
      <c r="I31" s="22"/>
      <c r="J31" s="22"/>
      <c r="K31" s="22"/>
      <c r="L31" s="22"/>
      <c r="M31" s="22"/>
      <c r="N31" s="22"/>
      <c r="O31" s="22"/>
      <c r="P31" s="22"/>
      <c r="Q31" s="22"/>
      <c r="R31" s="22"/>
      <c r="S31" s="22"/>
      <c r="T31" s="22"/>
      <c r="U31" s="31"/>
    </row>
    <row r="32" spans="1:21" x14ac:dyDescent="0.25">
      <c r="A32" s="30"/>
      <c r="B32" s="22"/>
      <c r="C32" s="22"/>
      <c r="D32" s="22"/>
      <c r="E32" s="22"/>
      <c r="F32" s="22"/>
      <c r="G32" s="22"/>
      <c r="H32" s="22"/>
      <c r="I32" s="22"/>
      <c r="J32" s="22"/>
      <c r="K32" s="22"/>
      <c r="L32" s="22"/>
      <c r="M32" s="22"/>
      <c r="N32" s="22"/>
      <c r="O32" s="22"/>
      <c r="P32" s="22"/>
      <c r="Q32" s="22"/>
      <c r="R32" s="22"/>
      <c r="S32" s="22"/>
      <c r="T32" s="22"/>
      <c r="U32" s="31"/>
    </row>
    <row r="33" spans="1:21" x14ac:dyDescent="0.25">
      <c r="A33" s="30"/>
      <c r="B33" s="22"/>
      <c r="C33" s="22"/>
      <c r="D33" s="22"/>
      <c r="E33" s="22"/>
      <c r="F33" s="22"/>
      <c r="G33" s="22"/>
      <c r="H33" s="22"/>
      <c r="I33" s="22"/>
      <c r="J33" s="22"/>
      <c r="K33" s="22"/>
      <c r="L33" s="22"/>
      <c r="M33" s="22"/>
      <c r="N33" s="22"/>
      <c r="O33" s="22"/>
      <c r="P33" s="22"/>
      <c r="Q33" s="22"/>
      <c r="R33" s="22"/>
      <c r="S33" s="22"/>
      <c r="T33" s="22"/>
      <c r="U33" s="31"/>
    </row>
    <row r="34" spans="1:21" x14ac:dyDescent="0.25">
      <c r="A34" s="30"/>
      <c r="B34" s="22"/>
      <c r="C34" s="22"/>
      <c r="D34" s="22"/>
      <c r="E34" s="22"/>
      <c r="F34" s="22"/>
      <c r="G34" s="22"/>
      <c r="H34" s="22"/>
      <c r="I34" s="22"/>
      <c r="J34" s="22"/>
      <c r="K34" s="22"/>
      <c r="L34" s="22"/>
      <c r="M34" s="22"/>
      <c r="N34" s="22"/>
      <c r="O34" s="22"/>
      <c r="P34" s="22"/>
      <c r="Q34" s="22"/>
      <c r="R34" s="22"/>
      <c r="S34" s="22"/>
      <c r="T34" s="22"/>
      <c r="U34" s="31"/>
    </row>
    <row r="35" spans="1:21" x14ac:dyDescent="0.25">
      <c r="A35" s="30"/>
      <c r="B35" s="22"/>
      <c r="C35" s="22"/>
      <c r="D35" s="22"/>
      <c r="E35" s="22"/>
      <c r="F35" s="22"/>
      <c r="G35" s="22"/>
      <c r="H35" s="22"/>
      <c r="I35" s="22"/>
      <c r="J35" s="22"/>
      <c r="K35" s="22"/>
      <c r="L35" s="22"/>
      <c r="M35" s="22"/>
      <c r="N35" s="22"/>
      <c r="O35" s="22"/>
      <c r="P35" s="22"/>
      <c r="Q35" s="22"/>
      <c r="R35" s="22"/>
      <c r="S35" s="22"/>
      <c r="T35" s="22"/>
      <c r="U35" s="31"/>
    </row>
    <row r="36" spans="1:21" x14ac:dyDescent="0.25">
      <c r="A36" s="30"/>
      <c r="B36" s="22"/>
      <c r="C36" s="22"/>
      <c r="D36" s="22"/>
      <c r="E36" s="22"/>
      <c r="F36" s="22"/>
      <c r="G36" s="22"/>
      <c r="H36" s="22"/>
      <c r="I36" s="22"/>
      <c r="J36" s="22"/>
      <c r="K36" s="22"/>
      <c r="L36" s="22"/>
      <c r="M36" s="22"/>
      <c r="N36" s="22"/>
      <c r="O36" s="22"/>
      <c r="P36" s="22"/>
      <c r="Q36" s="22"/>
      <c r="R36" s="22"/>
      <c r="S36" s="22"/>
      <c r="T36" s="22"/>
      <c r="U36" s="31"/>
    </row>
    <row r="37" spans="1:21" x14ac:dyDescent="0.25">
      <c r="A37" s="30"/>
      <c r="B37" s="22"/>
      <c r="C37" s="22"/>
      <c r="D37" s="22"/>
      <c r="E37" s="22"/>
      <c r="F37" s="22"/>
      <c r="G37" s="22"/>
      <c r="H37" s="22"/>
      <c r="I37" s="22"/>
      <c r="J37" s="22"/>
      <c r="K37" s="22"/>
      <c r="L37" s="22"/>
      <c r="M37" s="22"/>
      <c r="N37" s="22"/>
      <c r="O37" s="22"/>
      <c r="P37" s="22"/>
      <c r="Q37" s="22"/>
      <c r="R37" s="22"/>
      <c r="S37" s="22"/>
      <c r="T37" s="22"/>
      <c r="U37" s="31"/>
    </row>
    <row r="38" spans="1:21" ht="6" customHeight="1" thickBot="1" x14ac:dyDescent="0.3">
      <c r="A38" s="32"/>
      <c r="B38" s="33"/>
      <c r="C38" s="33"/>
      <c r="D38" s="33"/>
      <c r="E38" s="33"/>
      <c r="F38" s="33"/>
      <c r="G38" s="33"/>
      <c r="H38" s="33"/>
      <c r="I38" s="34"/>
      <c r="J38" s="32"/>
      <c r="K38" s="33"/>
      <c r="L38" s="33"/>
      <c r="M38" s="33"/>
      <c r="N38" s="33"/>
      <c r="O38" s="33"/>
      <c r="P38" s="33"/>
      <c r="Q38" s="33"/>
      <c r="R38" s="33"/>
      <c r="S38" s="33"/>
      <c r="T38" s="33"/>
      <c r="U38" s="34"/>
    </row>
    <row r="39" spans="1:21" ht="15.75" thickTop="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26EBC54-574F-4671-B9A1-C7D0FC3A65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Raw Data - LTL</vt:lpstr>
      <vt:lpstr>Raw Data- cẩu</vt:lpstr>
      <vt:lpstr>Raw Data - dài</vt:lpstr>
      <vt:lpstr>Raw Data- ngắn</vt:lpstr>
      <vt:lpstr>CALCULATION-NGẮN</vt:lpstr>
      <vt:lpstr>CALCULATION- DÀI</vt:lpstr>
      <vt:lpstr>CALCULATION- LTL</vt:lpstr>
      <vt:lpstr>RAW DATA- DAVF</vt:lpstr>
      <vt:lpstr>Monitoring- ĐƯỜNG NGẮN</vt:lpstr>
      <vt:lpstr>Monitoring - ĐƯỜNG DÀI</vt:lpstr>
      <vt:lpstr>Monitoring - LTL</vt:lpstr>
      <vt:lpstr>CALCULATION- DAVF</vt:lpstr>
      <vt:lpstr>MONITORING - DAVF LONG ROUTE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Minh Tien</dc:creator>
  <cp:lastModifiedBy>Nguyen Minh Tien</cp:lastModifiedBy>
  <dcterms:created xsi:type="dcterms:W3CDTF">2023-07-20T01:42:24Z</dcterms:created>
  <dcterms:modified xsi:type="dcterms:W3CDTF">2023-09-21T01:49:58Z</dcterms:modified>
</cp:coreProperties>
</file>